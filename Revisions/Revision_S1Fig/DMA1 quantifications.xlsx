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yreddy/Desktop/Revision Experiments/"/>
    </mc:Choice>
  </mc:AlternateContent>
  <xr:revisionPtr revIDLastSave="0" documentId="13_ncr:1_{3338DF76-2635-6644-8BA5-DD276DE4DA63}" xr6:coauthVersionLast="47" xr6:coauthVersionMax="47" xr10:uidLastSave="{00000000-0000-0000-0000-000000000000}"/>
  <bookViews>
    <workbookView xWindow="0" yWindow="760" windowWidth="30240" windowHeight="17580" xr2:uid="{D2A698A6-CD3A-1140-925C-126AFE2006B9}"/>
  </bookViews>
  <sheets>
    <sheet name="wt" sheetId="1" r:id="rId1"/>
    <sheet name="wy193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K22" i="2"/>
  <c r="G203" i="2"/>
  <c r="D203" i="2"/>
  <c r="C203" i="2"/>
  <c r="G193" i="2"/>
  <c r="D193" i="2"/>
  <c r="C193" i="2"/>
  <c r="G183" i="2"/>
  <c r="D183" i="2"/>
  <c r="C183" i="2"/>
  <c r="G175" i="2"/>
  <c r="D175" i="2"/>
  <c r="C175" i="2"/>
  <c r="G170" i="2"/>
  <c r="D170" i="2"/>
  <c r="C170" i="2"/>
  <c r="G160" i="2"/>
  <c r="D160" i="2"/>
  <c r="C160" i="2"/>
  <c r="G153" i="2"/>
  <c r="D153" i="2"/>
  <c r="C153" i="2"/>
  <c r="G141" i="2"/>
  <c r="D141" i="2"/>
  <c r="C141" i="2"/>
  <c r="G134" i="2"/>
  <c r="D134" i="2"/>
  <c r="C134" i="2"/>
  <c r="G124" i="2"/>
  <c r="D124" i="2"/>
  <c r="C124" i="2"/>
  <c r="G116" i="2"/>
  <c r="D116" i="2"/>
  <c r="C116" i="2"/>
  <c r="G97" i="2"/>
  <c r="D97" i="2"/>
  <c r="C97" i="2"/>
  <c r="G86" i="2"/>
  <c r="D86" i="2"/>
  <c r="C86" i="2"/>
  <c r="G74" i="2"/>
  <c r="D74" i="2"/>
  <c r="C74" i="2"/>
  <c r="G66" i="2"/>
  <c r="D66" i="2"/>
  <c r="C66" i="2"/>
  <c r="G58" i="2"/>
  <c r="D58" i="2"/>
  <c r="C58" i="2"/>
  <c r="G44" i="2"/>
  <c r="D44" i="2"/>
  <c r="C44" i="2"/>
  <c r="G30" i="2"/>
  <c r="D30" i="2"/>
  <c r="C30" i="2"/>
  <c r="G22" i="2"/>
  <c r="D22" i="2"/>
  <c r="C22" i="2"/>
  <c r="G11" i="2"/>
  <c r="D11" i="2"/>
  <c r="C11" i="2"/>
  <c r="G207" i="1"/>
  <c r="D207" i="1"/>
  <c r="C207" i="1"/>
  <c r="G199" i="1"/>
  <c r="D199" i="1"/>
  <c r="C199" i="1"/>
  <c r="G189" i="1"/>
  <c r="D189" i="1"/>
  <c r="C189" i="1"/>
  <c r="G177" i="1"/>
  <c r="D177" i="1"/>
  <c r="C177" i="1"/>
  <c r="G165" i="1"/>
  <c r="D165" i="1"/>
  <c r="C165" i="1"/>
  <c r="G155" i="1"/>
  <c r="D155" i="1"/>
  <c r="C155" i="1"/>
  <c r="G145" i="1"/>
  <c r="D145" i="1"/>
  <c r="C145" i="1"/>
  <c r="G135" i="1"/>
  <c r="D135" i="1"/>
  <c r="C135" i="1"/>
  <c r="G124" i="1"/>
  <c r="D124" i="1"/>
  <c r="C124" i="1"/>
  <c r="G104" i="1"/>
  <c r="D104" i="1"/>
  <c r="C104" i="1"/>
  <c r="G93" i="1"/>
  <c r="D93" i="1"/>
  <c r="C93" i="1"/>
  <c r="G84" i="1"/>
  <c r="D84" i="1"/>
  <c r="C84" i="1"/>
  <c r="G72" i="1"/>
  <c r="D72" i="1"/>
  <c r="C72" i="1"/>
  <c r="G60" i="1"/>
  <c r="D60" i="1"/>
  <c r="C60" i="1"/>
  <c r="G54" i="1"/>
  <c r="D54" i="1"/>
  <c r="C54" i="1"/>
  <c r="G45" i="1"/>
  <c r="D45" i="1"/>
  <c r="C45" i="1"/>
  <c r="G38" i="1"/>
  <c r="D38" i="1"/>
  <c r="C38" i="1"/>
  <c r="G29" i="1"/>
  <c r="D29" i="1"/>
  <c r="C29" i="1"/>
  <c r="G21" i="1"/>
  <c r="D21" i="1"/>
  <c r="C21" i="1"/>
  <c r="G10" i="1"/>
  <c r="D10" i="1"/>
  <c r="C10" i="1"/>
</calcChain>
</file>

<file path=xl/sharedStrings.xml><?xml version="1.0" encoding="utf-8"?>
<sst xmlns="http://schemas.openxmlformats.org/spreadsheetml/2006/main" count="42" uniqueCount="31">
  <si>
    <t>Animal</t>
  </si>
  <si>
    <t>MGV</t>
  </si>
  <si>
    <t>Area</t>
  </si>
  <si>
    <t>2025_06_02 Animal 1</t>
  </si>
  <si>
    <t>Animal 2</t>
  </si>
  <si>
    <t>ROIs</t>
  </si>
  <si>
    <t>Mean</t>
  </si>
  <si>
    <t>Min</t>
  </si>
  <si>
    <t>Max</t>
  </si>
  <si>
    <t>2025_06_03 Animal 3</t>
  </si>
  <si>
    <t>Animal 4</t>
  </si>
  <si>
    <t>Animal 5</t>
  </si>
  <si>
    <t>Animal 6</t>
  </si>
  <si>
    <t>Animal 7</t>
  </si>
  <si>
    <t>Animal 8</t>
  </si>
  <si>
    <t>Animal 9</t>
  </si>
  <si>
    <t>Animal 10</t>
  </si>
  <si>
    <t>Animal 11</t>
  </si>
  <si>
    <t>Animal 12</t>
  </si>
  <si>
    <t>Animal 13</t>
  </si>
  <si>
    <t>Animal 14</t>
  </si>
  <si>
    <t>Animal 15</t>
  </si>
  <si>
    <t>Animal 16</t>
  </si>
  <si>
    <t>Animal 17</t>
  </si>
  <si>
    <t>Animal 18</t>
  </si>
  <si>
    <t>Animal 19</t>
  </si>
  <si>
    <t>Animal 20</t>
  </si>
  <si>
    <t>MGV/area</t>
  </si>
  <si>
    <t>2025_06_04 Animal 1</t>
  </si>
  <si>
    <t>8 (skipped animal 7)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</si>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</sst>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C97C-3793-1848-BE9C-4E4524987B5B}">
  <dimension ref="A1:K207"/>
  <sheetViews>
    <sheetView tabSelected="1" workbookViewId="0">
      <selection activeCell="J22" sqref="J22"/>
    </sheetView>
  </sheetViews>
  <sheetFormatPr baseColWidth="10" defaultRowHeight="16" x14ac:dyDescent="0.2"/>
  <cols>
    <col min="1" max="1" width="18.1640625" bestFit="1" customWidth="1"/>
    <col min="10" max="10" width="18.1640625" bestFit="1" customWidth="1"/>
  </cols>
  <sheetData>
    <row r="1" spans="1:11" x14ac:dyDescent="0.2">
      <c r="A1" t="s">
        <v>0</v>
      </c>
      <c r="B1" t="s">
        <v>5</v>
      </c>
      <c r="C1" t="s">
        <v>2</v>
      </c>
      <c r="D1" t="s">
        <v>6</v>
      </c>
      <c r="E1" t="s">
        <v>7</v>
      </c>
      <c r="F1" t="s">
        <v>8</v>
      </c>
      <c r="K1" t="s">
        <v>27</v>
      </c>
    </row>
    <row r="2" spans="1:11" x14ac:dyDescent="0.2">
      <c r="A2" t="s">
        <v>3</v>
      </c>
      <c r="B2">
        <v>1</v>
      </c>
      <c r="C2">
        <v>398.54500000000002</v>
      </c>
      <c r="D2">
        <v>35007.703999999998</v>
      </c>
      <c r="E2">
        <v>16731.947</v>
      </c>
      <c r="F2">
        <v>56213.105000000003</v>
      </c>
      <c r="J2" t="s">
        <v>3</v>
      </c>
      <c r="K2">
        <v>271.58609663534355</v>
      </c>
    </row>
    <row r="3" spans="1:11" x14ac:dyDescent="0.2">
      <c r="B3">
        <v>2</v>
      </c>
      <c r="C3">
        <v>232.232</v>
      </c>
      <c r="D3">
        <v>32939.607000000004</v>
      </c>
      <c r="E3">
        <v>17307.062000000002</v>
      </c>
      <c r="F3">
        <v>70443.851999999999</v>
      </c>
      <c r="J3">
        <v>2</v>
      </c>
      <c r="K3" s="2">
        <v>1057.4254800000001</v>
      </c>
    </row>
    <row r="4" spans="1:11" x14ac:dyDescent="0.2">
      <c r="B4">
        <v>3</v>
      </c>
      <c r="C4">
        <v>92.183000000000007</v>
      </c>
      <c r="D4">
        <v>33316.730000000003</v>
      </c>
      <c r="E4">
        <v>18402.493999999999</v>
      </c>
      <c r="F4">
        <v>50344.023000000001</v>
      </c>
      <c r="J4" t="s">
        <v>9</v>
      </c>
      <c r="K4">
        <v>612.53591956078958</v>
      </c>
    </row>
    <row r="5" spans="1:11" x14ac:dyDescent="0.2">
      <c r="B5">
        <v>4</v>
      </c>
      <c r="C5">
        <v>95.512</v>
      </c>
      <c r="D5">
        <v>34332.428999999996</v>
      </c>
      <c r="E5">
        <v>22158.322</v>
      </c>
      <c r="F5">
        <v>46596.41</v>
      </c>
      <c r="J5">
        <v>4</v>
      </c>
      <c r="K5">
        <v>445.28040071737837</v>
      </c>
    </row>
    <row r="6" spans="1:11" x14ac:dyDescent="0.2">
      <c r="B6">
        <v>5</v>
      </c>
      <c r="C6">
        <v>20.123000000000001</v>
      </c>
      <c r="D6">
        <v>29804.327000000001</v>
      </c>
      <c r="E6">
        <v>19294.273000000001</v>
      </c>
      <c r="F6">
        <v>38136.425999999999</v>
      </c>
      <c r="J6">
        <v>5</v>
      </c>
      <c r="K6">
        <v>331.69289699455857</v>
      </c>
    </row>
    <row r="7" spans="1:11" x14ac:dyDescent="0.2">
      <c r="B7">
        <v>6</v>
      </c>
      <c r="C7">
        <v>27.077999999999999</v>
      </c>
      <c r="D7">
        <v>31499.571</v>
      </c>
      <c r="E7">
        <v>19837.5</v>
      </c>
      <c r="F7">
        <v>40431.163999999997</v>
      </c>
      <c r="J7">
        <v>6</v>
      </c>
      <c r="K7">
        <v>207.053302175152</v>
      </c>
    </row>
    <row r="8" spans="1:11" x14ac:dyDescent="0.2">
      <c r="B8">
        <v>7</v>
      </c>
      <c r="C8">
        <v>104.316</v>
      </c>
      <c r="D8">
        <v>33239.199999999997</v>
      </c>
      <c r="E8">
        <v>17781.653999999999</v>
      </c>
      <c r="F8">
        <v>51996.995999999999</v>
      </c>
      <c r="J8">
        <v>7</v>
      </c>
      <c r="K8">
        <v>125.56693818986891</v>
      </c>
    </row>
    <row r="9" spans="1:11" x14ac:dyDescent="0.2">
      <c r="B9">
        <v>8</v>
      </c>
      <c r="C9">
        <v>15.757999999999999</v>
      </c>
      <c r="D9">
        <v>37575.612000000001</v>
      </c>
      <c r="E9">
        <v>22507.478999999999</v>
      </c>
      <c r="F9">
        <v>49674.862999999998</v>
      </c>
      <c r="J9">
        <v>8</v>
      </c>
      <c r="K9">
        <v>519.47886561777761</v>
      </c>
    </row>
    <row r="10" spans="1:11" x14ac:dyDescent="0.2">
      <c r="C10" s="1">
        <f>SUM(C2:C9)</f>
        <v>985.74700000000007</v>
      </c>
      <c r="D10" s="1">
        <f>SUM(D2:D9)</f>
        <v>267715.18</v>
      </c>
      <c r="G10">
        <f>D10/C10</f>
        <v>271.58609663534355</v>
      </c>
      <c r="J10">
        <v>9</v>
      </c>
      <c r="K10">
        <v>531.62246645852088</v>
      </c>
    </row>
    <row r="11" spans="1:11" x14ac:dyDescent="0.2">
      <c r="A11" t="s">
        <v>4</v>
      </c>
      <c r="B11">
        <v>1</v>
      </c>
      <c r="C11">
        <v>116.005</v>
      </c>
      <c r="D11">
        <v>87532.191000000006</v>
      </c>
      <c r="E11">
        <v>48430.199000000001</v>
      </c>
      <c r="F11">
        <v>144286.375</v>
      </c>
      <c r="J11">
        <v>10</v>
      </c>
      <c r="K11">
        <v>206.76392973578504</v>
      </c>
    </row>
    <row r="12" spans="1:11" x14ac:dyDescent="0.2">
      <c r="B12">
        <v>2</v>
      </c>
      <c r="C12">
        <v>105.64700000000001</v>
      </c>
      <c r="D12">
        <v>117839.308</v>
      </c>
      <c r="E12">
        <v>62605.093999999997</v>
      </c>
      <c r="F12">
        <v>174444.31200000001</v>
      </c>
      <c r="J12">
        <v>11</v>
      </c>
      <c r="K12">
        <v>369.58749991588894</v>
      </c>
    </row>
    <row r="13" spans="1:11" x14ac:dyDescent="0.2">
      <c r="B13">
        <v>3</v>
      </c>
      <c r="C13">
        <v>261.60300000000001</v>
      </c>
      <c r="D13">
        <v>96790.138000000006</v>
      </c>
      <c r="E13">
        <v>44256.305</v>
      </c>
      <c r="F13">
        <v>428034.15600000002</v>
      </c>
      <c r="J13">
        <v>12</v>
      </c>
      <c r="K13">
        <v>902.39368119500159</v>
      </c>
    </row>
    <row r="14" spans="1:11" x14ac:dyDescent="0.2">
      <c r="B14">
        <v>4</v>
      </c>
      <c r="C14">
        <v>54.673000000000002</v>
      </c>
      <c r="D14">
        <v>85229.153000000006</v>
      </c>
      <c r="E14">
        <v>49922.093999999997</v>
      </c>
      <c r="F14">
        <v>116777.984</v>
      </c>
      <c r="J14">
        <v>13</v>
      </c>
      <c r="K14">
        <v>498.37401217935968</v>
      </c>
    </row>
    <row r="15" spans="1:11" x14ac:dyDescent="0.2">
      <c r="B15">
        <v>5</v>
      </c>
      <c r="C15">
        <v>111.788</v>
      </c>
      <c r="D15">
        <v>84234.614000000001</v>
      </c>
      <c r="E15">
        <v>46468.328000000001</v>
      </c>
      <c r="F15">
        <v>117542.75</v>
      </c>
      <c r="J15">
        <v>14</v>
      </c>
      <c r="K15">
        <v>534.63366380245043</v>
      </c>
    </row>
    <row r="16" spans="1:11" x14ac:dyDescent="0.2">
      <c r="B16">
        <v>6</v>
      </c>
      <c r="C16">
        <v>65.992999999999995</v>
      </c>
      <c r="D16">
        <v>83465.739000000001</v>
      </c>
      <c r="E16">
        <v>52388.050999999999</v>
      </c>
      <c r="F16">
        <v>110552.617</v>
      </c>
      <c r="J16">
        <v>15</v>
      </c>
      <c r="K16">
        <v>630.65193466377036</v>
      </c>
    </row>
    <row r="17" spans="1:11" x14ac:dyDescent="0.2">
      <c r="B17">
        <v>7</v>
      </c>
      <c r="C17">
        <v>42.095999999999997</v>
      </c>
      <c r="D17">
        <v>75402.31</v>
      </c>
      <c r="E17">
        <v>59447.504000000001</v>
      </c>
      <c r="F17">
        <v>104257.67200000001</v>
      </c>
      <c r="J17">
        <v>16</v>
      </c>
      <c r="K17">
        <v>413.86258644022422</v>
      </c>
    </row>
    <row r="18" spans="1:11" x14ac:dyDescent="0.2">
      <c r="B18">
        <v>8</v>
      </c>
      <c r="C18">
        <v>64.216999999999999</v>
      </c>
      <c r="D18">
        <v>89564.445999999996</v>
      </c>
      <c r="E18">
        <v>59453.84</v>
      </c>
      <c r="F18">
        <v>125753.273</v>
      </c>
      <c r="J18">
        <v>17</v>
      </c>
      <c r="K18">
        <v>970.05128147221296</v>
      </c>
    </row>
    <row r="19" spans="1:11" x14ac:dyDescent="0.2">
      <c r="B19">
        <v>9</v>
      </c>
      <c r="C19">
        <v>24.858000000000001</v>
      </c>
      <c r="D19">
        <v>92971.936000000002</v>
      </c>
      <c r="E19">
        <v>80898.891000000003</v>
      </c>
      <c r="F19">
        <v>110930.539</v>
      </c>
      <c r="J19">
        <v>18</v>
      </c>
      <c r="K19">
        <v>526.11807489522778</v>
      </c>
    </row>
    <row r="20" spans="1:11" x14ac:dyDescent="0.2">
      <c r="B20">
        <v>10</v>
      </c>
      <c r="C20">
        <v>5.9930000000000003</v>
      </c>
      <c r="D20">
        <v>88819.804000000004</v>
      </c>
      <c r="E20">
        <v>77889.641000000003</v>
      </c>
      <c r="F20">
        <v>99344.273000000001</v>
      </c>
      <c r="J20">
        <v>19</v>
      </c>
      <c r="K20">
        <v>558.57366510943893</v>
      </c>
    </row>
    <row r="21" spans="1:11" x14ac:dyDescent="0.2">
      <c r="C21" s="1">
        <f>SUM(C11:C20)</f>
        <v>852.87300000000005</v>
      </c>
      <c r="D21" s="1">
        <f>SUM(D11:D20)</f>
        <v>901849.63899999997</v>
      </c>
      <c r="G21">
        <f>D21/C21</f>
        <v>1057.425477181245</v>
      </c>
      <c r="J21">
        <v>20</v>
      </c>
      <c r="K21">
        <v>434.03335265218817</v>
      </c>
    </row>
    <row r="22" spans="1:11" x14ac:dyDescent="0.2">
      <c r="J22" t="s">
        <v>30</v>
      </c>
      <c r="K22">
        <f>AVERAGE(K2:K21)</f>
        <v>507.36430242054684</v>
      </c>
    </row>
    <row r="23" spans="1:11" x14ac:dyDescent="0.2">
      <c r="A23" t="s">
        <v>9</v>
      </c>
      <c r="B23">
        <v>1</v>
      </c>
      <c r="C23">
        <v>62.146000000000001</v>
      </c>
      <c r="D23">
        <v>100706.31600000001</v>
      </c>
      <c r="E23">
        <v>60255.199000000001</v>
      </c>
      <c r="F23">
        <v>129811.148</v>
      </c>
    </row>
    <row r="24" spans="1:11" x14ac:dyDescent="0.2">
      <c r="B24">
        <v>2</v>
      </c>
      <c r="C24">
        <v>109.273</v>
      </c>
      <c r="D24">
        <v>87157.516000000003</v>
      </c>
      <c r="E24">
        <v>54203.93</v>
      </c>
      <c r="F24">
        <v>111954.594</v>
      </c>
    </row>
    <row r="25" spans="1:11" x14ac:dyDescent="0.2">
      <c r="B25">
        <v>3</v>
      </c>
      <c r="C25">
        <v>141.15899999999999</v>
      </c>
      <c r="D25">
        <v>75078.100999999995</v>
      </c>
      <c r="E25">
        <v>51281.012000000002</v>
      </c>
      <c r="F25">
        <v>91972.054999999993</v>
      </c>
    </row>
    <row r="26" spans="1:11" x14ac:dyDescent="0.2">
      <c r="B26">
        <v>4</v>
      </c>
      <c r="C26">
        <v>288.01499999999999</v>
      </c>
      <c r="D26">
        <v>83717.290999999997</v>
      </c>
      <c r="E26">
        <v>67901.898000000001</v>
      </c>
      <c r="F26">
        <v>114193.648</v>
      </c>
    </row>
    <row r="27" spans="1:11" x14ac:dyDescent="0.2">
      <c r="B27">
        <v>5</v>
      </c>
      <c r="C27">
        <v>120.74</v>
      </c>
      <c r="D27">
        <v>83979.159</v>
      </c>
      <c r="E27">
        <v>67846.156000000003</v>
      </c>
      <c r="F27">
        <v>96270.391000000003</v>
      </c>
    </row>
    <row r="28" spans="1:11" x14ac:dyDescent="0.2">
      <c r="B28">
        <v>6</v>
      </c>
      <c r="C28">
        <v>117.26300000000001</v>
      </c>
      <c r="D28">
        <v>83031.789000000004</v>
      </c>
      <c r="E28">
        <v>71346.116999999998</v>
      </c>
      <c r="F28">
        <v>107526.625</v>
      </c>
    </row>
    <row r="29" spans="1:11" x14ac:dyDescent="0.2">
      <c r="C29" s="1">
        <f>SUM(C23:C28)</f>
        <v>838.596</v>
      </c>
      <c r="D29" s="1">
        <f>SUM(D23:D28)</f>
        <v>513670.1719999999</v>
      </c>
      <c r="G29">
        <f>D29/C29</f>
        <v>612.53591956078958</v>
      </c>
    </row>
    <row r="31" spans="1:11" x14ac:dyDescent="0.2">
      <c r="A31" t="s">
        <v>10</v>
      </c>
      <c r="B31">
        <v>1</v>
      </c>
      <c r="C31">
        <v>167.27500000000001</v>
      </c>
      <c r="D31">
        <v>51858.408000000003</v>
      </c>
      <c r="E31">
        <v>26339.692999999999</v>
      </c>
      <c r="F31">
        <v>208948.359</v>
      </c>
    </row>
    <row r="32" spans="1:11" x14ac:dyDescent="0.2">
      <c r="B32">
        <v>2</v>
      </c>
      <c r="C32">
        <v>80.936999999999998</v>
      </c>
      <c r="D32">
        <v>48057.531000000003</v>
      </c>
      <c r="E32">
        <v>27593.697</v>
      </c>
      <c r="F32">
        <v>67474.218999999997</v>
      </c>
    </row>
    <row r="33" spans="1:7" x14ac:dyDescent="0.2">
      <c r="B33">
        <v>3</v>
      </c>
      <c r="C33">
        <v>92.626000000000005</v>
      </c>
      <c r="D33">
        <v>54680.103999999999</v>
      </c>
      <c r="E33">
        <v>26812.773000000001</v>
      </c>
      <c r="F33">
        <v>125817.742</v>
      </c>
    </row>
    <row r="34" spans="1:7" x14ac:dyDescent="0.2">
      <c r="B34">
        <v>4</v>
      </c>
      <c r="C34">
        <v>50.308</v>
      </c>
      <c r="D34">
        <v>54388.964999999997</v>
      </c>
      <c r="E34">
        <v>26702.835999999999</v>
      </c>
      <c r="F34">
        <v>223307</v>
      </c>
    </row>
    <row r="35" spans="1:7" x14ac:dyDescent="0.2">
      <c r="B35">
        <v>5</v>
      </c>
      <c r="C35">
        <v>108.533</v>
      </c>
      <c r="D35">
        <v>53239.631000000001</v>
      </c>
      <c r="E35">
        <v>27235.348000000002</v>
      </c>
      <c r="F35">
        <v>108039.906</v>
      </c>
    </row>
    <row r="36" spans="1:7" x14ac:dyDescent="0.2">
      <c r="B36">
        <v>6</v>
      </c>
      <c r="C36">
        <v>191.39400000000001</v>
      </c>
      <c r="D36">
        <v>57117.502</v>
      </c>
      <c r="E36">
        <v>27511.15</v>
      </c>
      <c r="F36">
        <v>287562.21899999998</v>
      </c>
    </row>
    <row r="37" spans="1:7" x14ac:dyDescent="0.2">
      <c r="B37">
        <v>7</v>
      </c>
      <c r="C37">
        <v>136.94200000000001</v>
      </c>
      <c r="D37">
        <v>49356.71</v>
      </c>
      <c r="E37">
        <v>38389.953000000001</v>
      </c>
      <c r="F37">
        <v>74597.187999999995</v>
      </c>
    </row>
    <row r="38" spans="1:7" x14ac:dyDescent="0.2">
      <c r="C38" s="1">
        <f>SUM(C31:C37)</f>
        <v>828.01499999999999</v>
      </c>
      <c r="D38" s="1">
        <f>SUM(D31:D37)</f>
        <v>368698.85100000002</v>
      </c>
      <c r="G38">
        <f>D38/C38</f>
        <v>445.28040071737837</v>
      </c>
    </row>
    <row r="40" spans="1:7" x14ac:dyDescent="0.2">
      <c r="A40" t="s">
        <v>11</v>
      </c>
      <c r="B40">
        <v>1</v>
      </c>
      <c r="C40">
        <v>104.834</v>
      </c>
      <c r="D40">
        <v>55631.957000000002</v>
      </c>
      <c r="E40">
        <v>47752.366999999998</v>
      </c>
      <c r="F40">
        <v>96555.875</v>
      </c>
    </row>
    <row r="41" spans="1:7" x14ac:dyDescent="0.2">
      <c r="B41">
        <v>2</v>
      </c>
      <c r="C41">
        <v>154.25399999999999</v>
      </c>
      <c r="D41">
        <v>68198.323999999993</v>
      </c>
      <c r="E41">
        <v>47688.855000000003</v>
      </c>
      <c r="F41">
        <v>286126</v>
      </c>
    </row>
    <row r="42" spans="1:7" x14ac:dyDescent="0.2">
      <c r="B42">
        <v>3</v>
      </c>
      <c r="C42">
        <v>141.751</v>
      </c>
      <c r="D42">
        <v>70552.993000000002</v>
      </c>
      <c r="E42">
        <v>42514.050999999999</v>
      </c>
      <c r="F42">
        <v>205825.109</v>
      </c>
    </row>
    <row r="43" spans="1:7" x14ac:dyDescent="0.2">
      <c r="B43">
        <v>4</v>
      </c>
      <c r="C43">
        <v>449.298</v>
      </c>
      <c r="D43">
        <v>69662.585999999996</v>
      </c>
      <c r="E43">
        <v>49887.112999999998</v>
      </c>
      <c r="F43">
        <v>210446.92199999999</v>
      </c>
    </row>
    <row r="44" spans="1:7" x14ac:dyDescent="0.2">
      <c r="B44">
        <v>5</v>
      </c>
      <c r="C44">
        <v>195.167</v>
      </c>
      <c r="D44">
        <v>82674.051999999996</v>
      </c>
      <c r="E44">
        <v>48885.487999999998</v>
      </c>
      <c r="F44">
        <v>434549.59399999998</v>
      </c>
    </row>
    <row r="45" spans="1:7" x14ac:dyDescent="0.2">
      <c r="C45" s="1">
        <f>SUM(C40:C44)</f>
        <v>1045.3039999999999</v>
      </c>
      <c r="D45" s="1">
        <f>SUM(D40:D44)</f>
        <v>346719.91200000001</v>
      </c>
      <c r="G45">
        <f>D45/C45</f>
        <v>331.69289699455857</v>
      </c>
    </row>
    <row r="47" spans="1:7" x14ac:dyDescent="0.2">
      <c r="A47" t="s">
        <v>12</v>
      </c>
      <c r="B47">
        <v>1</v>
      </c>
      <c r="C47">
        <v>227.053</v>
      </c>
      <c r="D47">
        <v>50189.915000000001</v>
      </c>
      <c r="E47">
        <v>36065.402000000002</v>
      </c>
      <c r="F47">
        <v>73577.297000000006</v>
      </c>
    </row>
    <row r="48" spans="1:7" x14ac:dyDescent="0.2">
      <c r="B48">
        <v>2</v>
      </c>
      <c r="C48">
        <v>257.83</v>
      </c>
      <c r="D48">
        <v>54180.059000000001</v>
      </c>
      <c r="E48">
        <v>35454.785000000003</v>
      </c>
      <c r="F48">
        <v>193977.07800000001</v>
      </c>
    </row>
    <row r="49" spans="1:7" x14ac:dyDescent="0.2">
      <c r="B49">
        <v>3</v>
      </c>
      <c r="C49">
        <v>189.76599999999999</v>
      </c>
      <c r="D49">
        <v>56764.400999999998</v>
      </c>
      <c r="E49">
        <v>43186.16</v>
      </c>
      <c r="F49">
        <v>128785.31200000001</v>
      </c>
    </row>
    <row r="50" spans="1:7" x14ac:dyDescent="0.2">
      <c r="B50">
        <v>4</v>
      </c>
      <c r="C50">
        <v>376.20299999999997</v>
      </c>
      <c r="D50">
        <v>60033.036999999997</v>
      </c>
      <c r="E50">
        <v>32096.583999999999</v>
      </c>
      <c r="F50">
        <v>135994.641</v>
      </c>
    </row>
    <row r="51" spans="1:7" x14ac:dyDescent="0.2">
      <c r="B51">
        <v>5</v>
      </c>
      <c r="C51">
        <v>297.18900000000002</v>
      </c>
      <c r="D51">
        <v>53511.550999999999</v>
      </c>
      <c r="E51">
        <v>31453.682000000001</v>
      </c>
      <c r="F51">
        <v>129942.484</v>
      </c>
    </row>
    <row r="52" spans="1:7" x14ac:dyDescent="0.2">
      <c r="B52">
        <v>6</v>
      </c>
      <c r="C52">
        <v>212.923</v>
      </c>
      <c r="D52">
        <v>50488.042000000001</v>
      </c>
      <c r="E52">
        <v>29893.643</v>
      </c>
      <c r="F52">
        <v>96954.741999999998</v>
      </c>
    </row>
    <row r="53" spans="1:7" x14ac:dyDescent="0.2">
      <c r="B53">
        <v>7</v>
      </c>
      <c r="C53">
        <v>274.40199999999999</v>
      </c>
      <c r="D53">
        <v>54851.586000000003</v>
      </c>
      <c r="E53">
        <v>31629.111000000001</v>
      </c>
      <c r="F53">
        <v>95505.327999999994</v>
      </c>
    </row>
    <row r="54" spans="1:7" x14ac:dyDescent="0.2">
      <c r="C54" s="1">
        <f>SUM(C47:C53)</f>
        <v>1835.366</v>
      </c>
      <c r="D54" s="1">
        <f>SUM(D47:D53)</f>
        <v>380018.59100000001</v>
      </c>
      <c r="G54">
        <f>D54/C54</f>
        <v>207.053302175152</v>
      </c>
    </row>
    <row r="56" spans="1:7" x14ac:dyDescent="0.2">
      <c r="A56" t="s">
        <v>13</v>
      </c>
      <c r="B56">
        <v>1</v>
      </c>
      <c r="C56">
        <v>655.11800000000005</v>
      </c>
      <c r="D56">
        <v>47447.368000000002</v>
      </c>
      <c r="E56">
        <v>27918.537</v>
      </c>
      <c r="F56">
        <v>91326.843999999997</v>
      </c>
    </row>
    <row r="57" spans="1:7" x14ac:dyDescent="0.2">
      <c r="B57">
        <v>2</v>
      </c>
      <c r="C57">
        <v>356.15300000000002</v>
      </c>
      <c r="D57">
        <v>45578.462</v>
      </c>
      <c r="E57">
        <v>27314.605</v>
      </c>
      <c r="F57">
        <v>84300.523000000001</v>
      </c>
    </row>
    <row r="58" spans="1:7" x14ac:dyDescent="0.2">
      <c r="B58">
        <v>3</v>
      </c>
      <c r="C58">
        <v>288.23700000000002</v>
      </c>
      <c r="D58">
        <v>46632.982000000004</v>
      </c>
      <c r="E58">
        <v>27001.098000000002</v>
      </c>
      <c r="F58">
        <v>76672.679999999993</v>
      </c>
    </row>
    <row r="59" spans="1:7" x14ac:dyDescent="0.2">
      <c r="B59">
        <v>4</v>
      </c>
      <c r="C59">
        <v>207.3</v>
      </c>
      <c r="D59">
        <v>49546.455000000002</v>
      </c>
      <c r="E59">
        <v>30689.511999999999</v>
      </c>
      <c r="F59">
        <v>100078.992</v>
      </c>
    </row>
    <row r="60" spans="1:7" x14ac:dyDescent="0.2">
      <c r="C60" s="1">
        <f>SUM(C56:C59)</f>
        <v>1506.808</v>
      </c>
      <c r="D60" s="1">
        <f>SUM(D56:D59)</f>
        <v>189205.26699999999</v>
      </c>
      <c r="G60">
        <f>D60/C60</f>
        <v>125.56693818986891</v>
      </c>
    </row>
    <row r="62" spans="1:7" x14ac:dyDescent="0.2">
      <c r="A62" t="s">
        <v>14</v>
      </c>
      <c r="B62">
        <v>1</v>
      </c>
      <c r="C62">
        <v>91.813000000000002</v>
      </c>
      <c r="D62">
        <v>50285.144999999997</v>
      </c>
      <c r="E62">
        <v>28066.432000000001</v>
      </c>
      <c r="F62">
        <v>80838.366999999998</v>
      </c>
    </row>
    <row r="63" spans="1:7" x14ac:dyDescent="0.2">
      <c r="B63">
        <v>2</v>
      </c>
      <c r="C63">
        <v>55.487000000000002</v>
      </c>
      <c r="D63">
        <v>55156.796999999999</v>
      </c>
      <c r="E63">
        <v>28519.414000000001</v>
      </c>
      <c r="F63">
        <v>85298.608999999997</v>
      </c>
    </row>
    <row r="64" spans="1:7" x14ac:dyDescent="0.2">
      <c r="B64">
        <v>3</v>
      </c>
      <c r="C64">
        <v>130.80199999999999</v>
      </c>
      <c r="D64">
        <v>54158.618999999999</v>
      </c>
      <c r="E64">
        <v>30062.355</v>
      </c>
      <c r="F64">
        <v>78454.758000000002</v>
      </c>
    </row>
    <row r="65" spans="1:7" x14ac:dyDescent="0.2">
      <c r="B65">
        <v>4</v>
      </c>
      <c r="C65">
        <v>122.59</v>
      </c>
      <c r="D65">
        <v>48290.546999999999</v>
      </c>
      <c r="E65">
        <v>30251.186000000002</v>
      </c>
      <c r="F65">
        <v>90626.085999999996</v>
      </c>
    </row>
    <row r="66" spans="1:7" x14ac:dyDescent="0.2">
      <c r="B66">
        <v>5</v>
      </c>
      <c r="C66">
        <v>56.152999999999999</v>
      </c>
      <c r="D66">
        <v>52853.317999999999</v>
      </c>
      <c r="E66">
        <v>30883.313999999998</v>
      </c>
      <c r="F66">
        <v>86526.773000000001</v>
      </c>
    </row>
    <row r="67" spans="1:7" x14ac:dyDescent="0.2">
      <c r="B67">
        <v>6</v>
      </c>
      <c r="C67">
        <v>51.713999999999999</v>
      </c>
      <c r="D67">
        <v>52700.353999999999</v>
      </c>
      <c r="E67">
        <v>30984.080000000002</v>
      </c>
      <c r="F67">
        <v>72845.351999999999</v>
      </c>
    </row>
    <row r="68" spans="1:7" x14ac:dyDescent="0.2">
      <c r="B68">
        <v>7</v>
      </c>
      <c r="C68">
        <v>173.12</v>
      </c>
      <c r="D68">
        <v>53172.815000000002</v>
      </c>
      <c r="E68">
        <v>31012.938999999998</v>
      </c>
      <c r="F68">
        <v>79502.5</v>
      </c>
    </row>
    <row r="69" spans="1:7" x14ac:dyDescent="0.2">
      <c r="B69">
        <v>8</v>
      </c>
      <c r="C69">
        <v>112.602</v>
      </c>
      <c r="D69">
        <v>55294.008000000002</v>
      </c>
      <c r="E69">
        <v>30144.175999999999</v>
      </c>
      <c r="F69">
        <v>96975.57</v>
      </c>
    </row>
    <row r="70" spans="1:7" x14ac:dyDescent="0.2">
      <c r="B70">
        <v>9</v>
      </c>
      <c r="C70">
        <v>159.21100000000001</v>
      </c>
      <c r="D70">
        <v>52740.32</v>
      </c>
      <c r="E70">
        <v>28984.403999999999</v>
      </c>
      <c r="F70">
        <v>85826.437999999995</v>
      </c>
    </row>
    <row r="71" spans="1:7" x14ac:dyDescent="0.2">
      <c r="B71">
        <v>10</v>
      </c>
      <c r="C71">
        <v>62.884999999999998</v>
      </c>
      <c r="D71">
        <v>53334.447999999997</v>
      </c>
      <c r="E71">
        <v>30571.442999999999</v>
      </c>
      <c r="F71">
        <v>74368.148000000001</v>
      </c>
    </row>
    <row r="72" spans="1:7" x14ac:dyDescent="0.2">
      <c r="C72" s="1">
        <f>SUM(C62:C71)</f>
        <v>1016.3770000000001</v>
      </c>
      <c r="D72" s="1">
        <f>SUM(D62:D71)</f>
        <v>527986.37100000004</v>
      </c>
      <c r="G72">
        <f>D72/C72</f>
        <v>519.47886561777761</v>
      </c>
    </row>
    <row r="74" spans="1:7" x14ac:dyDescent="0.2">
      <c r="A74" t="s">
        <v>15</v>
      </c>
      <c r="B74">
        <v>1</v>
      </c>
      <c r="C74">
        <v>56.744999999999997</v>
      </c>
      <c r="D74">
        <v>71795.464999999997</v>
      </c>
      <c r="E74">
        <v>59161.300999999999</v>
      </c>
      <c r="F74">
        <v>106748.875</v>
      </c>
    </row>
    <row r="75" spans="1:7" x14ac:dyDescent="0.2">
      <c r="B75">
        <v>2</v>
      </c>
      <c r="C75">
        <v>154.77199999999999</v>
      </c>
      <c r="D75">
        <v>78033.729000000007</v>
      </c>
      <c r="E75">
        <v>34647.589999999997</v>
      </c>
      <c r="F75">
        <v>114993.969</v>
      </c>
    </row>
    <row r="76" spans="1:7" x14ac:dyDescent="0.2">
      <c r="B76">
        <v>3</v>
      </c>
      <c r="C76">
        <v>124.51300000000001</v>
      </c>
      <c r="D76">
        <v>65096.364999999998</v>
      </c>
      <c r="E76">
        <v>43989.855000000003</v>
      </c>
      <c r="F76">
        <v>98140.383000000002</v>
      </c>
    </row>
    <row r="77" spans="1:7" x14ac:dyDescent="0.2">
      <c r="B77">
        <v>4</v>
      </c>
      <c r="C77">
        <v>84.561999999999998</v>
      </c>
      <c r="D77">
        <v>76063.485000000001</v>
      </c>
      <c r="E77">
        <v>58952.241999999998</v>
      </c>
      <c r="F77">
        <v>109686.25</v>
      </c>
    </row>
    <row r="78" spans="1:7" x14ac:dyDescent="0.2">
      <c r="B78">
        <v>5</v>
      </c>
      <c r="C78">
        <v>196.64599999999999</v>
      </c>
      <c r="D78">
        <v>72524.801999999996</v>
      </c>
      <c r="E78">
        <v>40059.964999999997</v>
      </c>
      <c r="F78">
        <v>97504.625</v>
      </c>
    </row>
    <row r="79" spans="1:7" x14ac:dyDescent="0.2">
      <c r="B79">
        <v>6</v>
      </c>
      <c r="C79">
        <v>187.029</v>
      </c>
      <c r="D79">
        <v>71401.051999999996</v>
      </c>
      <c r="E79">
        <v>36605.75</v>
      </c>
      <c r="F79">
        <v>107991.836</v>
      </c>
    </row>
    <row r="80" spans="1:7" x14ac:dyDescent="0.2">
      <c r="B80">
        <v>7</v>
      </c>
      <c r="C80">
        <v>121.702</v>
      </c>
      <c r="D80">
        <v>88230.259000000005</v>
      </c>
      <c r="E80">
        <v>64994.288999999997</v>
      </c>
      <c r="F80">
        <v>121331.55499999999</v>
      </c>
    </row>
    <row r="81" spans="1:7" x14ac:dyDescent="0.2">
      <c r="B81">
        <v>8</v>
      </c>
      <c r="C81">
        <v>173.34200000000001</v>
      </c>
      <c r="D81">
        <v>86185.567999999999</v>
      </c>
      <c r="E81">
        <v>43820.065999999999</v>
      </c>
      <c r="F81">
        <v>123992.227</v>
      </c>
    </row>
    <row r="82" spans="1:7" x14ac:dyDescent="0.2">
      <c r="B82">
        <v>9</v>
      </c>
      <c r="C82">
        <v>205.74600000000001</v>
      </c>
      <c r="D82">
        <v>74977.622000000003</v>
      </c>
      <c r="E82">
        <v>48121.097999999998</v>
      </c>
      <c r="F82">
        <v>152715.734</v>
      </c>
    </row>
    <row r="83" spans="1:7" x14ac:dyDescent="0.2">
      <c r="B83">
        <v>10</v>
      </c>
      <c r="C83">
        <v>124.069</v>
      </c>
      <c r="D83">
        <v>75447.142000000007</v>
      </c>
      <c r="E83">
        <v>40478.273000000001</v>
      </c>
      <c r="F83">
        <v>150207.875</v>
      </c>
    </row>
    <row r="84" spans="1:7" x14ac:dyDescent="0.2">
      <c r="C84" s="1">
        <f>SUM(C74:C83)</f>
        <v>1429.126</v>
      </c>
      <c r="D84" s="1">
        <f>SUM(D74:D83)</f>
        <v>759755.48900000006</v>
      </c>
      <c r="G84">
        <f>D84/C84</f>
        <v>531.62246645852088</v>
      </c>
    </row>
    <row r="86" spans="1:7" x14ac:dyDescent="0.2">
      <c r="A86" t="s">
        <v>16</v>
      </c>
      <c r="B86">
        <v>1</v>
      </c>
      <c r="C86">
        <v>46.091000000000001</v>
      </c>
      <c r="D86">
        <v>50987.464</v>
      </c>
      <c r="E86">
        <v>41212.722999999998</v>
      </c>
      <c r="F86">
        <v>84458.539000000004</v>
      </c>
    </row>
    <row r="87" spans="1:7" x14ac:dyDescent="0.2">
      <c r="B87">
        <v>2</v>
      </c>
      <c r="C87">
        <v>258.49599999999998</v>
      </c>
      <c r="D87">
        <v>52544.398999999998</v>
      </c>
      <c r="E87">
        <v>36355.625</v>
      </c>
      <c r="F87">
        <v>91083.266000000003</v>
      </c>
    </row>
    <row r="88" spans="1:7" x14ac:dyDescent="0.2">
      <c r="B88">
        <v>3</v>
      </c>
      <c r="C88">
        <v>303.77300000000002</v>
      </c>
      <c r="D88">
        <v>60330.873</v>
      </c>
      <c r="E88">
        <v>33292.375</v>
      </c>
      <c r="F88">
        <v>368842.03100000002</v>
      </c>
    </row>
    <row r="89" spans="1:7" x14ac:dyDescent="0.2">
      <c r="B89">
        <v>4</v>
      </c>
      <c r="C89">
        <v>118.52</v>
      </c>
      <c r="D89">
        <v>46793.34</v>
      </c>
      <c r="E89">
        <v>31087.708999999999</v>
      </c>
      <c r="F89">
        <v>98217.164000000004</v>
      </c>
    </row>
    <row r="90" spans="1:7" x14ac:dyDescent="0.2">
      <c r="B90">
        <v>5</v>
      </c>
      <c r="C90">
        <v>459.50700000000001</v>
      </c>
      <c r="D90">
        <v>44074.815999999999</v>
      </c>
      <c r="E90">
        <v>26958.945</v>
      </c>
      <c r="F90">
        <v>105470.289</v>
      </c>
    </row>
    <row r="91" spans="1:7" x14ac:dyDescent="0.2">
      <c r="B91">
        <v>6</v>
      </c>
      <c r="C91">
        <v>308.36</v>
      </c>
      <c r="D91">
        <v>45589.826000000001</v>
      </c>
      <c r="E91">
        <v>23712.143</v>
      </c>
      <c r="F91">
        <v>111118.602</v>
      </c>
    </row>
    <row r="92" spans="1:7" x14ac:dyDescent="0.2">
      <c r="B92">
        <v>7</v>
      </c>
      <c r="C92">
        <v>196.86799999999999</v>
      </c>
      <c r="D92">
        <v>49444.247000000003</v>
      </c>
      <c r="E92">
        <v>23822.27</v>
      </c>
      <c r="F92">
        <v>134724.32800000001</v>
      </c>
    </row>
    <row r="93" spans="1:7" x14ac:dyDescent="0.2">
      <c r="C93" s="1">
        <f>SUM(C86:C92)</f>
        <v>1691.6149999999998</v>
      </c>
      <c r="D93" s="1">
        <f>SUM(D86:D92)</f>
        <v>349764.96499999997</v>
      </c>
      <c r="G93">
        <f>D93/C93</f>
        <v>206.76392973578504</v>
      </c>
    </row>
    <row r="95" spans="1:7" x14ac:dyDescent="0.2">
      <c r="A95" t="s">
        <v>17</v>
      </c>
      <c r="B95">
        <v>1</v>
      </c>
      <c r="C95">
        <v>210.851</v>
      </c>
      <c r="D95">
        <v>43870.502999999997</v>
      </c>
      <c r="E95">
        <v>27031.971000000001</v>
      </c>
      <c r="F95">
        <v>69231.641000000003</v>
      </c>
    </row>
    <row r="96" spans="1:7" x14ac:dyDescent="0.2">
      <c r="B96">
        <v>2</v>
      </c>
      <c r="C96">
        <v>41.207999999999998</v>
      </c>
      <c r="D96">
        <v>51429.254000000001</v>
      </c>
      <c r="E96">
        <v>38865.758000000002</v>
      </c>
      <c r="F96">
        <v>74914.070000000007</v>
      </c>
    </row>
    <row r="97" spans="1:7" x14ac:dyDescent="0.2">
      <c r="B97">
        <v>3</v>
      </c>
      <c r="C97">
        <v>8.2859999999999996</v>
      </c>
      <c r="D97">
        <v>47205.207000000002</v>
      </c>
      <c r="E97">
        <v>43205.508000000002</v>
      </c>
      <c r="F97">
        <v>51237.815999999999</v>
      </c>
    </row>
    <row r="98" spans="1:7" x14ac:dyDescent="0.2">
      <c r="B98">
        <v>4</v>
      </c>
      <c r="C98">
        <v>103.28</v>
      </c>
      <c r="D98">
        <v>44816.923999999999</v>
      </c>
      <c r="E98">
        <v>26769.414000000001</v>
      </c>
      <c r="F98">
        <v>81113.031000000003</v>
      </c>
    </row>
    <row r="99" spans="1:7" x14ac:dyDescent="0.2">
      <c r="B99">
        <v>5</v>
      </c>
      <c r="C99">
        <v>245.03100000000001</v>
      </c>
      <c r="D99">
        <v>50532.25</v>
      </c>
      <c r="E99">
        <v>24808.504000000001</v>
      </c>
      <c r="F99">
        <v>90295.875</v>
      </c>
    </row>
    <row r="100" spans="1:7" x14ac:dyDescent="0.2">
      <c r="B100">
        <v>6</v>
      </c>
      <c r="C100">
        <v>51.566000000000003</v>
      </c>
      <c r="D100">
        <v>58183.800999999999</v>
      </c>
      <c r="E100">
        <v>41948.824000000001</v>
      </c>
      <c r="F100">
        <v>121224.625</v>
      </c>
    </row>
    <row r="101" spans="1:7" x14ac:dyDescent="0.2">
      <c r="B101">
        <v>7</v>
      </c>
      <c r="C101">
        <v>173.12</v>
      </c>
      <c r="D101">
        <v>55931.612000000001</v>
      </c>
      <c r="E101">
        <v>25845.428</v>
      </c>
      <c r="F101">
        <v>169709.46900000001</v>
      </c>
    </row>
    <row r="102" spans="1:7" x14ac:dyDescent="0.2">
      <c r="B102">
        <v>8</v>
      </c>
      <c r="C102">
        <v>272.33100000000002</v>
      </c>
      <c r="D102">
        <v>52173.203999999998</v>
      </c>
      <c r="E102">
        <v>22414.465</v>
      </c>
      <c r="F102">
        <v>111228.109</v>
      </c>
    </row>
    <row r="103" spans="1:7" x14ac:dyDescent="0.2">
      <c r="B103">
        <v>9</v>
      </c>
      <c r="C103">
        <v>83.230999999999995</v>
      </c>
      <c r="D103">
        <v>35261.302000000003</v>
      </c>
      <c r="E103">
        <v>18924.050999999999</v>
      </c>
      <c r="F103">
        <v>68904.179999999993</v>
      </c>
    </row>
    <row r="104" spans="1:7" x14ac:dyDescent="0.2">
      <c r="C104" s="1">
        <f>SUM(C95:C103)</f>
        <v>1188.904</v>
      </c>
      <c r="D104" s="1">
        <f>SUM(D95:D103)</f>
        <v>439404.05700000003</v>
      </c>
      <c r="G104">
        <f>D104/C104</f>
        <v>369.58749991588894</v>
      </c>
    </row>
    <row r="106" spans="1:7" x14ac:dyDescent="0.2">
      <c r="A106" t="s">
        <v>18</v>
      </c>
      <c r="B106">
        <v>1</v>
      </c>
      <c r="C106">
        <v>354.08199999999999</v>
      </c>
      <c r="D106">
        <v>72744.652000000002</v>
      </c>
      <c r="E106">
        <v>42644.597999999998</v>
      </c>
      <c r="F106">
        <v>104233.68</v>
      </c>
    </row>
    <row r="107" spans="1:7" x14ac:dyDescent="0.2">
      <c r="B107">
        <v>2</v>
      </c>
      <c r="C107">
        <v>316.79399999999998</v>
      </c>
      <c r="D107">
        <v>75726.168999999994</v>
      </c>
      <c r="E107">
        <v>34213.156000000003</v>
      </c>
      <c r="F107">
        <v>115861.906</v>
      </c>
    </row>
    <row r="108" spans="1:7" x14ac:dyDescent="0.2">
      <c r="B108">
        <v>3</v>
      </c>
      <c r="C108">
        <v>59.186</v>
      </c>
      <c r="D108">
        <v>60049.998</v>
      </c>
      <c r="E108">
        <v>44709.940999999999</v>
      </c>
      <c r="F108">
        <v>76140.108999999997</v>
      </c>
    </row>
    <row r="109" spans="1:7" x14ac:dyDescent="0.2">
      <c r="B109">
        <v>4</v>
      </c>
      <c r="C109">
        <v>27.004000000000001</v>
      </c>
      <c r="D109">
        <v>55114.839</v>
      </c>
      <c r="E109">
        <v>36075.561999999998</v>
      </c>
      <c r="F109">
        <v>74050.25</v>
      </c>
    </row>
    <row r="110" spans="1:7" x14ac:dyDescent="0.2">
      <c r="B110">
        <v>5</v>
      </c>
      <c r="C110">
        <v>140.41900000000001</v>
      </c>
      <c r="D110">
        <v>59653.173999999999</v>
      </c>
      <c r="E110">
        <v>32236.190999999999</v>
      </c>
      <c r="F110">
        <v>77035.358999999997</v>
      </c>
    </row>
    <row r="111" spans="1:7" x14ac:dyDescent="0.2">
      <c r="B111">
        <v>6</v>
      </c>
      <c r="C111">
        <v>66.363</v>
      </c>
      <c r="D111">
        <v>60558.908000000003</v>
      </c>
      <c r="E111">
        <v>42115.597999999998</v>
      </c>
      <c r="F111">
        <v>73282.054999999993</v>
      </c>
    </row>
    <row r="112" spans="1:7" x14ac:dyDescent="0.2">
      <c r="B112">
        <v>7</v>
      </c>
      <c r="C112">
        <v>86.116</v>
      </c>
      <c r="D112">
        <v>66985.206000000006</v>
      </c>
      <c r="E112">
        <v>55193.065999999999</v>
      </c>
      <c r="F112">
        <v>95694.554999999993</v>
      </c>
    </row>
    <row r="113" spans="1:7" x14ac:dyDescent="0.2">
      <c r="B113">
        <v>8</v>
      </c>
      <c r="C113">
        <v>88.557000000000002</v>
      </c>
      <c r="D113">
        <v>63898.807000000001</v>
      </c>
      <c r="E113">
        <v>41220.832000000002</v>
      </c>
      <c r="F113">
        <v>94515.093999999997</v>
      </c>
    </row>
    <row r="114" spans="1:7" x14ac:dyDescent="0.2">
      <c r="B114">
        <v>9</v>
      </c>
      <c r="C114">
        <v>36.03</v>
      </c>
      <c r="D114">
        <v>77102.258000000002</v>
      </c>
      <c r="E114">
        <v>53157.406000000003</v>
      </c>
      <c r="F114">
        <v>112992.125</v>
      </c>
    </row>
    <row r="115" spans="1:7" x14ac:dyDescent="0.2">
      <c r="B115">
        <v>10</v>
      </c>
      <c r="C115">
        <v>43.65</v>
      </c>
      <c r="D115">
        <v>98184.172000000006</v>
      </c>
      <c r="E115">
        <v>60509.891000000003</v>
      </c>
      <c r="F115">
        <v>302225.125</v>
      </c>
    </row>
    <row r="116" spans="1:7" x14ac:dyDescent="0.2">
      <c r="B116">
        <v>11</v>
      </c>
      <c r="C116">
        <v>42.54</v>
      </c>
      <c r="D116">
        <v>77146.641000000003</v>
      </c>
      <c r="E116">
        <v>38149.608999999997</v>
      </c>
      <c r="F116">
        <v>203277.65599999999</v>
      </c>
    </row>
    <row r="117" spans="1:7" x14ac:dyDescent="0.2">
      <c r="B117">
        <v>12</v>
      </c>
      <c r="C117">
        <v>9.6920000000000002</v>
      </c>
      <c r="D117">
        <v>88177.485000000001</v>
      </c>
      <c r="E117">
        <v>73345.960999999996</v>
      </c>
      <c r="F117">
        <v>157343.5</v>
      </c>
    </row>
    <row r="118" spans="1:7" x14ac:dyDescent="0.2">
      <c r="B118">
        <v>13</v>
      </c>
      <c r="C118">
        <v>13.243</v>
      </c>
      <c r="D118">
        <v>92087.826000000001</v>
      </c>
      <c r="E118">
        <v>82477.914000000004</v>
      </c>
      <c r="F118">
        <v>105539.914</v>
      </c>
    </row>
    <row r="119" spans="1:7" x14ac:dyDescent="0.2">
      <c r="B119">
        <v>14</v>
      </c>
      <c r="C119">
        <v>32.034999999999997</v>
      </c>
      <c r="D119">
        <v>71906.273000000001</v>
      </c>
      <c r="E119">
        <v>47991.601999999999</v>
      </c>
      <c r="F119">
        <v>164301.18799999999</v>
      </c>
    </row>
    <row r="120" spans="1:7" x14ac:dyDescent="0.2">
      <c r="B120">
        <v>15</v>
      </c>
      <c r="C120">
        <v>23.082999999999998</v>
      </c>
      <c r="D120">
        <v>108813.337</v>
      </c>
      <c r="E120">
        <v>63628.387000000002</v>
      </c>
      <c r="F120">
        <v>249508.70300000001</v>
      </c>
    </row>
    <row r="121" spans="1:7" x14ac:dyDescent="0.2">
      <c r="B121">
        <v>16</v>
      </c>
      <c r="C121">
        <v>21.603000000000002</v>
      </c>
      <c r="D121">
        <v>67434.885999999999</v>
      </c>
      <c r="E121">
        <v>55604.82</v>
      </c>
      <c r="F121">
        <v>86495.273000000001</v>
      </c>
    </row>
    <row r="122" spans="1:7" x14ac:dyDescent="0.2">
      <c r="B122">
        <v>17</v>
      </c>
      <c r="C122">
        <v>5.9930000000000003</v>
      </c>
      <c r="D122">
        <v>61088.065000000002</v>
      </c>
      <c r="E122">
        <v>44757.68</v>
      </c>
      <c r="F122">
        <v>71227.991999999998</v>
      </c>
    </row>
    <row r="123" spans="1:7" x14ac:dyDescent="0.2">
      <c r="B123">
        <v>18</v>
      </c>
      <c r="C123">
        <v>112.97199999999999</v>
      </c>
      <c r="D123">
        <v>78294.225000000006</v>
      </c>
      <c r="E123">
        <v>38951.031000000003</v>
      </c>
      <c r="F123">
        <v>164056.516</v>
      </c>
    </row>
    <row r="124" spans="1:7" x14ac:dyDescent="0.2">
      <c r="C124" s="1">
        <f>SUM(C106:C123)</f>
        <v>1479.3620000000001</v>
      </c>
      <c r="D124" s="1">
        <f>SUM(D106:D123)</f>
        <v>1334966.9210000001</v>
      </c>
      <c r="G124">
        <f>D124/C124</f>
        <v>902.39368119500159</v>
      </c>
    </row>
    <row r="126" spans="1:7" x14ac:dyDescent="0.2">
      <c r="A126" t="s">
        <v>19</v>
      </c>
      <c r="B126">
        <v>1</v>
      </c>
      <c r="C126">
        <v>191.172</v>
      </c>
      <c r="D126">
        <v>70398.192999999999</v>
      </c>
      <c r="E126">
        <v>34877.171999999999</v>
      </c>
      <c r="F126">
        <v>296930.65600000002</v>
      </c>
    </row>
    <row r="127" spans="1:7" x14ac:dyDescent="0.2">
      <c r="B127">
        <v>2</v>
      </c>
      <c r="C127">
        <v>152.70099999999999</v>
      </c>
      <c r="D127">
        <v>69506.601999999999</v>
      </c>
      <c r="E127">
        <v>35530.43</v>
      </c>
      <c r="F127">
        <v>312048.75</v>
      </c>
    </row>
    <row r="128" spans="1:7" x14ac:dyDescent="0.2">
      <c r="B128">
        <v>3</v>
      </c>
      <c r="C128">
        <v>192.50299999999999</v>
      </c>
      <c r="D128">
        <v>67885.721999999994</v>
      </c>
      <c r="E128">
        <v>37780.434000000001</v>
      </c>
      <c r="F128">
        <v>166948.20300000001</v>
      </c>
    </row>
    <row r="129" spans="1:7" x14ac:dyDescent="0.2">
      <c r="B129">
        <v>4</v>
      </c>
      <c r="C129">
        <v>122.59</v>
      </c>
      <c r="D129">
        <v>67386.346999999994</v>
      </c>
      <c r="E129">
        <v>38151.938000000002</v>
      </c>
      <c r="F129">
        <v>106626.523</v>
      </c>
    </row>
    <row r="130" spans="1:7" x14ac:dyDescent="0.2">
      <c r="B130">
        <v>5</v>
      </c>
      <c r="C130">
        <v>262.565</v>
      </c>
      <c r="D130">
        <v>80839.904999999999</v>
      </c>
      <c r="E130">
        <v>43131.733999999997</v>
      </c>
      <c r="F130">
        <v>128570.148</v>
      </c>
    </row>
    <row r="131" spans="1:7" x14ac:dyDescent="0.2">
      <c r="B131">
        <v>6</v>
      </c>
      <c r="C131">
        <v>159.285</v>
      </c>
      <c r="D131">
        <v>88495.657000000007</v>
      </c>
      <c r="E131">
        <v>54707.741999999998</v>
      </c>
      <c r="F131">
        <v>131944.84400000001</v>
      </c>
    </row>
    <row r="132" spans="1:7" x14ac:dyDescent="0.2">
      <c r="B132">
        <v>7</v>
      </c>
      <c r="C132">
        <v>142.26900000000001</v>
      </c>
      <c r="D132">
        <v>86267.98</v>
      </c>
      <c r="E132">
        <v>49625.906000000003</v>
      </c>
      <c r="F132">
        <v>124909.094</v>
      </c>
    </row>
    <row r="133" spans="1:7" x14ac:dyDescent="0.2">
      <c r="B133">
        <v>8</v>
      </c>
      <c r="C133">
        <v>52.972000000000001</v>
      </c>
      <c r="D133">
        <v>70354.739000000001</v>
      </c>
      <c r="E133">
        <v>53335.855000000003</v>
      </c>
      <c r="F133">
        <v>94469.202999999994</v>
      </c>
    </row>
    <row r="134" spans="1:7" x14ac:dyDescent="0.2">
      <c r="B134">
        <v>9</v>
      </c>
      <c r="C134">
        <v>86.412000000000006</v>
      </c>
      <c r="D134">
        <v>77883.997000000003</v>
      </c>
      <c r="E134">
        <v>67780.75</v>
      </c>
      <c r="F134">
        <v>94231.039000000004</v>
      </c>
    </row>
    <row r="135" spans="1:7" x14ac:dyDescent="0.2">
      <c r="C135" s="1">
        <f>SUM(C126:C134)</f>
        <v>1362.4690000000001</v>
      </c>
      <c r="D135" s="1">
        <f>SUM(D126:D134)</f>
        <v>679019.14199999999</v>
      </c>
      <c r="G135">
        <f>D135/C135</f>
        <v>498.37401217935968</v>
      </c>
    </row>
    <row r="137" spans="1:7" x14ac:dyDescent="0.2">
      <c r="A137" t="s">
        <v>20</v>
      </c>
      <c r="B137">
        <v>1</v>
      </c>
      <c r="C137">
        <v>168.38499999999999</v>
      </c>
      <c r="D137">
        <v>90807.475999999995</v>
      </c>
      <c r="E137">
        <v>43066.097999999998</v>
      </c>
      <c r="F137">
        <v>285139</v>
      </c>
    </row>
    <row r="138" spans="1:7" x14ac:dyDescent="0.2">
      <c r="B138">
        <v>2</v>
      </c>
      <c r="C138">
        <v>153.958</v>
      </c>
      <c r="D138">
        <v>85669.755000000005</v>
      </c>
      <c r="E138">
        <v>45564.637000000002</v>
      </c>
      <c r="F138">
        <v>308773.90600000002</v>
      </c>
    </row>
    <row r="139" spans="1:7" x14ac:dyDescent="0.2">
      <c r="B139">
        <v>3</v>
      </c>
      <c r="C139">
        <v>215.43799999999999</v>
      </c>
      <c r="D139">
        <v>96131.646999999997</v>
      </c>
      <c r="E139">
        <v>43935.733999999997</v>
      </c>
      <c r="F139">
        <v>417507.40600000002</v>
      </c>
    </row>
    <row r="140" spans="1:7" x14ac:dyDescent="0.2">
      <c r="B140">
        <v>4</v>
      </c>
      <c r="C140">
        <v>168.53299999999999</v>
      </c>
      <c r="D140">
        <v>80680.453999999998</v>
      </c>
      <c r="E140">
        <v>46486.733999999997</v>
      </c>
      <c r="F140">
        <v>122619.727</v>
      </c>
    </row>
    <row r="141" spans="1:7" x14ac:dyDescent="0.2">
      <c r="B141">
        <v>5</v>
      </c>
      <c r="C141">
        <v>95.141999999999996</v>
      </c>
      <c r="D141">
        <v>74469.914000000004</v>
      </c>
      <c r="E141">
        <v>44746.445</v>
      </c>
      <c r="F141">
        <v>107795.531</v>
      </c>
    </row>
    <row r="142" spans="1:7" x14ac:dyDescent="0.2">
      <c r="B142">
        <v>6</v>
      </c>
      <c r="C142">
        <v>252.059</v>
      </c>
      <c r="D142">
        <v>67077.05</v>
      </c>
      <c r="E142">
        <v>43370.809000000001</v>
      </c>
      <c r="F142">
        <v>95309.726999999999</v>
      </c>
    </row>
    <row r="143" spans="1:7" x14ac:dyDescent="0.2">
      <c r="B143">
        <v>7</v>
      </c>
      <c r="C143">
        <v>56.819000000000003</v>
      </c>
      <c r="D143">
        <v>59519.783000000003</v>
      </c>
      <c r="E143">
        <v>45722.983999999997</v>
      </c>
      <c r="F143">
        <v>84617.937999999995</v>
      </c>
    </row>
    <row r="144" spans="1:7" x14ac:dyDescent="0.2">
      <c r="B144">
        <v>8</v>
      </c>
      <c r="C144">
        <v>70.209999999999994</v>
      </c>
      <c r="D144">
        <v>76802.485000000001</v>
      </c>
      <c r="E144">
        <v>63250.370999999999</v>
      </c>
      <c r="F144">
        <v>96034.906000000003</v>
      </c>
    </row>
    <row r="145" spans="1:7" x14ac:dyDescent="0.2">
      <c r="C145" s="1">
        <f>SUM(C137:C144)</f>
        <v>1180.5439999999999</v>
      </c>
      <c r="D145" s="1">
        <f>SUM(D137:D144)</f>
        <v>631158.56400000001</v>
      </c>
      <c r="G145">
        <f>D145/C145</f>
        <v>534.63366380245043</v>
      </c>
    </row>
    <row r="147" spans="1:7" x14ac:dyDescent="0.2">
      <c r="A147" t="s">
        <v>21</v>
      </c>
      <c r="B147">
        <v>1</v>
      </c>
      <c r="C147">
        <v>228.31100000000001</v>
      </c>
      <c r="D147">
        <v>83353.987999999998</v>
      </c>
      <c r="E147">
        <v>56830.983999999997</v>
      </c>
      <c r="F147">
        <v>244297.859</v>
      </c>
    </row>
    <row r="148" spans="1:7" x14ac:dyDescent="0.2">
      <c r="B148">
        <v>2</v>
      </c>
      <c r="C148">
        <v>109.42100000000001</v>
      </c>
      <c r="D148">
        <v>103864.38</v>
      </c>
      <c r="E148">
        <v>64502.726999999999</v>
      </c>
      <c r="F148">
        <v>485888.18800000002</v>
      </c>
    </row>
    <row r="149" spans="1:7" x14ac:dyDescent="0.2">
      <c r="B149">
        <v>3</v>
      </c>
      <c r="C149">
        <v>119.70399999999999</v>
      </c>
      <c r="D149">
        <v>106213.311</v>
      </c>
      <c r="E149">
        <v>40008.101999999999</v>
      </c>
      <c r="F149">
        <v>529090.25</v>
      </c>
    </row>
    <row r="150" spans="1:7" x14ac:dyDescent="0.2">
      <c r="B150">
        <v>4</v>
      </c>
      <c r="C150">
        <v>179.11199999999999</v>
      </c>
      <c r="D150">
        <v>97037.900999999998</v>
      </c>
      <c r="E150">
        <v>34727.300999999999</v>
      </c>
      <c r="F150">
        <v>560139.75</v>
      </c>
    </row>
    <row r="151" spans="1:7" x14ac:dyDescent="0.2">
      <c r="B151">
        <v>5</v>
      </c>
      <c r="C151">
        <v>103.946</v>
      </c>
      <c r="D151">
        <v>93635.743000000002</v>
      </c>
      <c r="E151">
        <v>37583.925999999999</v>
      </c>
      <c r="F151">
        <v>491824.46899999998</v>
      </c>
    </row>
    <row r="152" spans="1:7" x14ac:dyDescent="0.2">
      <c r="B152">
        <v>6</v>
      </c>
      <c r="C152">
        <v>199.75399999999999</v>
      </c>
      <c r="D152">
        <v>95731.562000000005</v>
      </c>
      <c r="E152">
        <v>36122.266000000003</v>
      </c>
      <c r="F152">
        <v>359289.18800000002</v>
      </c>
    </row>
    <row r="153" spans="1:7" x14ac:dyDescent="0.2">
      <c r="B153">
        <v>7</v>
      </c>
      <c r="C153">
        <v>206.85599999999999</v>
      </c>
      <c r="D153">
        <v>87299.081999999995</v>
      </c>
      <c r="E153">
        <v>44123.593999999997</v>
      </c>
      <c r="F153">
        <v>139470.109</v>
      </c>
    </row>
    <row r="154" spans="1:7" x14ac:dyDescent="0.2">
      <c r="B154">
        <v>8</v>
      </c>
      <c r="C154">
        <v>41.578000000000003</v>
      </c>
      <c r="D154">
        <v>82508.635999999999</v>
      </c>
      <c r="E154">
        <v>70844.343999999997</v>
      </c>
      <c r="F154">
        <v>95169.562000000005</v>
      </c>
    </row>
    <row r="155" spans="1:7" x14ac:dyDescent="0.2">
      <c r="C155" s="1">
        <f>SUM(C147:C154)</f>
        <v>1188.682</v>
      </c>
      <c r="D155" s="1">
        <f>SUM(D147:D154)</f>
        <v>749644.60299999989</v>
      </c>
      <c r="G155">
        <f>D155/C155</f>
        <v>630.65193466377036</v>
      </c>
    </row>
    <row r="157" spans="1:7" x14ac:dyDescent="0.2">
      <c r="A157" t="s">
        <v>22</v>
      </c>
      <c r="B157">
        <v>1</v>
      </c>
      <c r="C157">
        <v>598.077</v>
      </c>
      <c r="D157">
        <v>72446.447</v>
      </c>
      <c r="E157">
        <v>34106.699000000001</v>
      </c>
      <c r="F157">
        <v>131813.71900000001</v>
      </c>
    </row>
    <row r="158" spans="1:7" x14ac:dyDescent="0.2">
      <c r="B158">
        <v>2</v>
      </c>
      <c r="C158">
        <v>92.921999999999997</v>
      </c>
      <c r="D158">
        <v>69033.895999999993</v>
      </c>
      <c r="E158">
        <v>33271.07</v>
      </c>
      <c r="F158">
        <v>106144.07799999999</v>
      </c>
    </row>
    <row r="159" spans="1:7" x14ac:dyDescent="0.2">
      <c r="B159">
        <v>3</v>
      </c>
      <c r="C159">
        <v>165.13</v>
      </c>
      <c r="D159">
        <v>59371.063999999998</v>
      </c>
      <c r="E159">
        <v>38108.163999999997</v>
      </c>
      <c r="F159">
        <v>91537.702999999994</v>
      </c>
    </row>
    <row r="160" spans="1:7" x14ac:dyDescent="0.2">
      <c r="B160">
        <v>4</v>
      </c>
      <c r="C160">
        <v>135.167</v>
      </c>
      <c r="D160">
        <v>65739.5</v>
      </c>
      <c r="E160">
        <v>48096.046999999999</v>
      </c>
      <c r="F160">
        <v>101593.79700000001</v>
      </c>
    </row>
    <row r="161" spans="1:7" x14ac:dyDescent="0.2">
      <c r="B161">
        <v>5</v>
      </c>
      <c r="C161">
        <v>78.421999999999997</v>
      </c>
      <c r="D161">
        <v>65004.686000000002</v>
      </c>
      <c r="E161">
        <v>41078.410000000003</v>
      </c>
      <c r="F161">
        <v>94953.468999999997</v>
      </c>
    </row>
    <row r="162" spans="1:7" x14ac:dyDescent="0.2">
      <c r="B162">
        <v>6</v>
      </c>
      <c r="C162">
        <v>71.466999999999999</v>
      </c>
      <c r="D162">
        <v>79822.767999999996</v>
      </c>
      <c r="E162">
        <v>31282.5</v>
      </c>
      <c r="F162">
        <v>254197.65599999999</v>
      </c>
    </row>
    <row r="163" spans="1:7" x14ac:dyDescent="0.2">
      <c r="B163">
        <v>7</v>
      </c>
      <c r="C163">
        <v>176.44900000000001</v>
      </c>
      <c r="D163">
        <v>80861.744999999995</v>
      </c>
      <c r="E163">
        <v>40897.379000000001</v>
      </c>
      <c r="F163">
        <v>243366.17199999999</v>
      </c>
    </row>
    <row r="164" spans="1:7" x14ac:dyDescent="0.2">
      <c r="B164">
        <v>8</v>
      </c>
      <c r="C164">
        <v>27.225999999999999</v>
      </c>
      <c r="D164">
        <v>64307.131999999998</v>
      </c>
      <c r="E164">
        <v>52051.199000000001</v>
      </c>
      <c r="F164">
        <v>92762.656000000003</v>
      </c>
    </row>
    <row r="165" spans="1:7" x14ac:dyDescent="0.2">
      <c r="C165" s="1">
        <f>SUM(C157:C164)</f>
        <v>1344.8600000000001</v>
      </c>
      <c r="D165" s="1">
        <f>SUM(D157:D164)</f>
        <v>556587.23800000001</v>
      </c>
      <c r="G165">
        <f>D165/C165</f>
        <v>413.86258644022422</v>
      </c>
    </row>
    <row r="167" spans="1:7" x14ac:dyDescent="0.2">
      <c r="A167" t="s">
        <v>23</v>
      </c>
      <c r="B167">
        <v>1</v>
      </c>
      <c r="C167">
        <v>320.19799999999998</v>
      </c>
      <c r="D167">
        <v>158389.386</v>
      </c>
      <c r="E167">
        <v>93190.093999999997</v>
      </c>
      <c r="F167">
        <v>490895.875</v>
      </c>
    </row>
    <row r="168" spans="1:7" x14ac:dyDescent="0.2">
      <c r="B168">
        <v>2</v>
      </c>
      <c r="C168">
        <v>214.476</v>
      </c>
      <c r="D168">
        <v>164119.02799999999</v>
      </c>
      <c r="E168">
        <v>123888.383</v>
      </c>
      <c r="F168">
        <v>347885.15600000002</v>
      </c>
    </row>
    <row r="169" spans="1:7" x14ac:dyDescent="0.2">
      <c r="B169">
        <v>3</v>
      </c>
      <c r="C169">
        <v>100.395</v>
      </c>
      <c r="D169">
        <v>169424.804</v>
      </c>
      <c r="E169">
        <v>107454.20299999999</v>
      </c>
      <c r="F169">
        <v>598345.5</v>
      </c>
    </row>
    <row r="170" spans="1:7" x14ac:dyDescent="0.2">
      <c r="B170">
        <v>4</v>
      </c>
      <c r="C170">
        <v>209.37100000000001</v>
      </c>
      <c r="D170">
        <v>133930.08499999999</v>
      </c>
      <c r="E170">
        <v>81710.554999999993</v>
      </c>
      <c r="F170">
        <v>429050.75</v>
      </c>
    </row>
    <row r="171" spans="1:7" x14ac:dyDescent="0.2">
      <c r="B171">
        <v>5</v>
      </c>
      <c r="C171">
        <v>113.342</v>
      </c>
      <c r="D171">
        <v>128466.977</v>
      </c>
      <c r="E171">
        <v>85937.672000000006</v>
      </c>
      <c r="F171">
        <v>219643.40599999999</v>
      </c>
    </row>
    <row r="172" spans="1:7" x14ac:dyDescent="0.2">
      <c r="B172">
        <v>6</v>
      </c>
      <c r="C172">
        <v>71.319000000000003</v>
      </c>
      <c r="D172">
        <v>139137.45300000001</v>
      </c>
      <c r="E172">
        <v>104236.984</v>
      </c>
      <c r="F172">
        <v>278853.375</v>
      </c>
    </row>
    <row r="173" spans="1:7" x14ac:dyDescent="0.2">
      <c r="B173">
        <v>7</v>
      </c>
      <c r="C173">
        <v>50.234000000000002</v>
      </c>
      <c r="D173">
        <v>161368.52799999999</v>
      </c>
      <c r="E173">
        <v>98447.039000000004</v>
      </c>
      <c r="F173">
        <v>532699.75</v>
      </c>
    </row>
    <row r="174" spans="1:7" x14ac:dyDescent="0.2">
      <c r="B174">
        <v>8</v>
      </c>
      <c r="C174">
        <v>160.91300000000001</v>
      </c>
      <c r="D174">
        <v>161491.174</v>
      </c>
      <c r="E174">
        <v>93838.195000000007</v>
      </c>
      <c r="F174">
        <v>501414.84399999998</v>
      </c>
    </row>
    <row r="175" spans="1:7" x14ac:dyDescent="0.2">
      <c r="B175">
        <v>9</v>
      </c>
      <c r="C175">
        <v>178.595</v>
      </c>
      <c r="D175">
        <v>171153.63800000001</v>
      </c>
      <c r="E175">
        <v>89102.312000000005</v>
      </c>
      <c r="F175">
        <v>691460.125</v>
      </c>
    </row>
    <row r="176" spans="1:7" x14ac:dyDescent="0.2">
      <c r="B176">
        <v>10</v>
      </c>
      <c r="C176">
        <v>219.50700000000001</v>
      </c>
      <c r="D176">
        <v>201802.44399999999</v>
      </c>
      <c r="E176">
        <v>87444.108999999997</v>
      </c>
      <c r="F176">
        <v>644225.75</v>
      </c>
    </row>
    <row r="177" spans="1:7" x14ac:dyDescent="0.2">
      <c r="C177" s="1">
        <f>SUM(C167:C176)</f>
        <v>1638.35</v>
      </c>
      <c r="D177" s="1">
        <f>SUM(D167:D176)</f>
        <v>1589283.517</v>
      </c>
      <c r="G177">
        <f>D177/C177</f>
        <v>970.05128147221296</v>
      </c>
    </row>
    <row r="179" spans="1:7" x14ac:dyDescent="0.2">
      <c r="A179" t="s">
        <v>24</v>
      </c>
      <c r="B179">
        <v>1</v>
      </c>
      <c r="C179">
        <v>303.404</v>
      </c>
      <c r="D179">
        <v>97222.873000000007</v>
      </c>
      <c r="E179">
        <v>47785.862999999998</v>
      </c>
      <c r="F179">
        <v>171604.18799999999</v>
      </c>
    </row>
    <row r="180" spans="1:7" x14ac:dyDescent="0.2">
      <c r="B180">
        <v>2</v>
      </c>
      <c r="C180">
        <v>280.24700000000001</v>
      </c>
      <c r="D180">
        <v>83606.179000000004</v>
      </c>
      <c r="E180">
        <v>47530.008000000002</v>
      </c>
      <c r="F180">
        <v>144021.04699999999</v>
      </c>
    </row>
    <row r="181" spans="1:7" x14ac:dyDescent="0.2">
      <c r="B181">
        <v>3</v>
      </c>
      <c r="C181">
        <v>246.80699999999999</v>
      </c>
      <c r="D181">
        <v>82541.468999999997</v>
      </c>
      <c r="E181">
        <v>49135.968999999997</v>
      </c>
      <c r="F181">
        <v>123623.602</v>
      </c>
    </row>
    <row r="182" spans="1:7" x14ac:dyDescent="0.2">
      <c r="B182">
        <v>4</v>
      </c>
      <c r="C182">
        <v>259.75400000000002</v>
      </c>
      <c r="D182">
        <v>86635.998000000007</v>
      </c>
      <c r="E182">
        <v>52482.211000000003</v>
      </c>
      <c r="F182">
        <v>115980.57</v>
      </c>
    </row>
    <row r="183" spans="1:7" x14ac:dyDescent="0.2">
      <c r="B183">
        <v>5</v>
      </c>
      <c r="C183">
        <v>211.14699999999999</v>
      </c>
      <c r="D183">
        <v>82978.191999999995</v>
      </c>
      <c r="E183">
        <v>54389.773000000001</v>
      </c>
      <c r="F183">
        <v>105527.875</v>
      </c>
    </row>
    <row r="184" spans="1:7" x14ac:dyDescent="0.2">
      <c r="B184">
        <v>6</v>
      </c>
      <c r="C184">
        <v>177.78100000000001</v>
      </c>
      <c r="D184">
        <v>92849.375</v>
      </c>
      <c r="E184">
        <v>50296.73</v>
      </c>
      <c r="F184">
        <v>311990.34399999998</v>
      </c>
    </row>
    <row r="185" spans="1:7" x14ac:dyDescent="0.2">
      <c r="B185">
        <v>7</v>
      </c>
      <c r="C185">
        <v>115.191</v>
      </c>
      <c r="D185">
        <v>82546.277000000002</v>
      </c>
      <c r="E185">
        <v>51053.476999999999</v>
      </c>
      <c r="F185">
        <v>115236.05499999999</v>
      </c>
    </row>
    <row r="186" spans="1:7" x14ac:dyDescent="0.2">
      <c r="B186">
        <v>8</v>
      </c>
      <c r="C186">
        <v>11.023</v>
      </c>
      <c r="D186">
        <v>98839.448999999993</v>
      </c>
      <c r="E186">
        <v>86988.281000000003</v>
      </c>
      <c r="F186">
        <v>117022.336</v>
      </c>
    </row>
    <row r="187" spans="1:7" x14ac:dyDescent="0.2">
      <c r="B187">
        <v>9</v>
      </c>
      <c r="C187">
        <v>70.432000000000002</v>
      </c>
      <c r="D187">
        <v>61160.133999999998</v>
      </c>
      <c r="E187">
        <v>46606.059000000001</v>
      </c>
      <c r="F187">
        <v>84492.226999999999</v>
      </c>
    </row>
    <row r="188" spans="1:7" x14ac:dyDescent="0.2">
      <c r="B188">
        <v>10</v>
      </c>
      <c r="C188">
        <v>25.524000000000001</v>
      </c>
      <c r="D188">
        <v>126709.996</v>
      </c>
      <c r="E188">
        <v>82519.148000000001</v>
      </c>
      <c r="F188">
        <v>396667.18800000002</v>
      </c>
    </row>
    <row r="189" spans="1:7" x14ac:dyDescent="0.2">
      <c r="C189" s="1">
        <f>SUM(C179:C188)</f>
        <v>1701.31</v>
      </c>
      <c r="D189" s="1">
        <f>SUM(D179:D188)</f>
        <v>895089.94200000004</v>
      </c>
      <c r="G189">
        <f>D189/C189</f>
        <v>526.11807489522778</v>
      </c>
    </row>
    <row r="191" spans="1:7" x14ac:dyDescent="0.2">
      <c r="A191" t="s">
        <v>25</v>
      </c>
      <c r="B191">
        <v>1</v>
      </c>
      <c r="C191">
        <v>76.498000000000005</v>
      </c>
      <c r="D191">
        <v>78668.654999999999</v>
      </c>
      <c r="E191">
        <v>48526.171999999999</v>
      </c>
      <c r="F191">
        <v>117474.094</v>
      </c>
    </row>
    <row r="192" spans="1:7" x14ac:dyDescent="0.2">
      <c r="B192">
        <v>2</v>
      </c>
      <c r="C192">
        <v>103.872</v>
      </c>
      <c r="D192">
        <v>79775.240999999995</v>
      </c>
      <c r="E192">
        <v>44508.800999999999</v>
      </c>
      <c r="F192">
        <v>116122.94500000001</v>
      </c>
    </row>
    <row r="193" spans="1:7" x14ac:dyDescent="0.2">
      <c r="B193">
        <v>3</v>
      </c>
      <c r="C193">
        <v>154.40199999999999</v>
      </c>
      <c r="D193">
        <v>82750.653999999995</v>
      </c>
      <c r="E193">
        <v>44474.175999999999</v>
      </c>
      <c r="F193">
        <v>129416.758</v>
      </c>
    </row>
    <row r="194" spans="1:7" x14ac:dyDescent="0.2">
      <c r="B194">
        <v>4</v>
      </c>
      <c r="C194">
        <v>266.70800000000003</v>
      </c>
      <c r="D194">
        <v>81658.801999999996</v>
      </c>
      <c r="E194">
        <v>42144.934000000001</v>
      </c>
      <c r="F194">
        <v>120859.56200000001</v>
      </c>
    </row>
    <row r="195" spans="1:7" x14ac:dyDescent="0.2">
      <c r="B195">
        <v>5</v>
      </c>
      <c r="C195">
        <v>223.798</v>
      </c>
      <c r="D195">
        <v>73377.365999999995</v>
      </c>
      <c r="E195">
        <v>41858.964999999997</v>
      </c>
      <c r="F195">
        <v>129633.031</v>
      </c>
    </row>
    <row r="196" spans="1:7" x14ac:dyDescent="0.2">
      <c r="B196">
        <v>6</v>
      </c>
      <c r="C196">
        <v>198.792</v>
      </c>
      <c r="D196">
        <v>80181.425000000003</v>
      </c>
      <c r="E196">
        <v>59037.199000000001</v>
      </c>
      <c r="F196">
        <v>114525.781</v>
      </c>
    </row>
    <row r="197" spans="1:7" x14ac:dyDescent="0.2">
      <c r="B197">
        <v>7</v>
      </c>
      <c r="C197">
        <v>73.613</v>
      </c>
      <c r="D197">
        <v>90535.752999999997</v>
      </c>
      <c r="E197">
        <v>60368.387000000002</v>
      </c>
      <c r="F197">
        <v>121578.602</v>
      </c>
    </row>
    <row r="198" spans="1:7" x14ac:dyDescent="0.2">
      <c r="B198">
        <v>8</v>
      </c>
      <c r="C198">
        <v>84.117999999999995</v>
      </c>
      <c r="D198">
        <v>93175.02</v>
      </c>
      <c r="E198">
        <v>66618.664000000004</v>
      </c>
      <c r="F198">
        <v>133520.82800000001</v>
      </c>
    </row>
    <row r="199" spans="1:7" x14ac:dyDescent="0.2">
      <c r="C199" s="1">
        <f>SUM(C191:C198)</f>
        <v>1181.8009999999999</v>
      </c>
      <c r="D199" s="1">
        <f>SUM(D191:D198)</f>
        <v>660122.91599999997</v>
      </c>
      <c r="G199">
        <f>D199/C199</f>
        <v>558.57366510943893</v>
      </c>
    </row>
    <row r="201" spans="1:7" x14ac:dyDescent="0.2">
      <c r="A201" t="s">
        <v>26</v>
      </c>
      <c r="B201">
        <v>1</v>
      </c>
      <c r="C201">
        <v>271.07299999999998</v>
      </c>
      <c r="D201">
        <v>130497.495</v>
      </c>
      <c r="E201">
        <v>82703.383000000002</v>
      </c>
      <c r="F201">
        <v>169070.875</v>
      </c>
    </row>
    <row r="202" spans="1:7" x14ac:dyDescent="0.2">
      <c r="B202">
        <v>2</v>
      </c>
      <c r="C202">
        <v>397.36200000000002</v>
      </c>
      <c r="D202">
        <v>130176.109</v>
      </c>
      <c r="E202">
        <v>83239.039000000004</v>
      </c>
      <c r="F202">
        <v>186281.06200000001</v>
      </c>
    </row>
    <row r="203" spans="1:7" x14ac:dyDescent="0.2">
      <c r="B203">
        <v>3</v>
      </c>
      <c r="C203">
        <v>304.51299999999998</v>
      </c>
      <c r="D203">
        <v>129192.85</v>
      </c>
      <c r="E203">
        <v>84605.343999999997</v>
      </c>
      <c r="F203">
        <v>164527.79699999999</v>
      </c>
    </row>
    <row r="204" spans="1:7" x14ac:dyDescent="0.2">
      <c r="B204">
        <v>4</v>
      </c>
      <c r="C204">
        <v>169.273</v>
      </c>
      <c r="D204">
        <v>113239.913</v>
      </c>
      <c r="E204">
        <v>68170</v>
      </c>
      <c r="F204">
        <v>163283.90599999999</v>
      </c>
    </row>
    <row r="205" spans="1:7" x14ac:dyDescent="0.2">
      <c r="B205">
        <v>5</v>
      </c>
      <c r="C205">
        <v>260.78899999999999</v>
      </c>
      <c r="D205">
        <v>94019.718999999997</v>
      </c>
      <c r="E205">
        <v>57002.391000000003</v>
      </c>
      <c r="F205">
        <v>208133.21900000001</v>
      </c>
    </row>
    <row r="206" spans="1:7" x14ac:dyDescent="0.2">
      <c r="B206">
        <v>6</v>
      </c>
      <c r="C206">
        <v>225.79599999999999</v>
      </c>
      <c r="D206">
        <v>109830.04300000001</v>
      </c>
      <c r="E206">
        <v>66351.781000000003</v>
      </c>
      <c r="F206">
        <v>582216.06200000003</v>
      </c>
    </row>
    <row r="207" spans="1:7" x14ac:dyDescent="0.2">
      <c r="C207" s="1">
        <f>SUM(C201:C206)</f>
        <v>1628.8059999999998</v>
      </c>
      <c r="D207" s="1">
        <f>SUM(D201:D206)</f>
        <v>706956.12899999996</v>
      </c>
      <c r="G207">
        <f>D207/C207</f>
        <v>434.03335265218817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F762-D001-EE42-A281-478483CCC68B}">
  <dimension ref="A1:K203"/>
  <sheetViews>
    <sheetView workbookViewId="0">
      <selection activeCell="J22" sqref="J22"/>
    </sheetView>
  </sheetViews>
  <sheetFormatPr baseColWidth="10" defaultRowHeight="16" x14ac:dyDescent="0.2"/>
  <cols>
    <col min="1" max="1" width="18.1640625" bestFit="1" customWidth="1"/>
    <col min="10" max="10" width="18.1640625" bestFit="1" customWidth="1"/>
  </cols>
  <sheetData>
    <row r="1" spans="1:11" x14ac:dyDescent="0.2">
      <c r="A1" t="s">
        <v>0</v>
      </c>
      <c r="B1" t="s">
        <v>5</v>
      </c>
      <c r="C1" t="s">
        <v>2</v>
      </c>
      <c r="D1" t="s">
        <v>1</v>
      </c>
      <c r="E1" t="s">
        <v>7</v>
      </c>
      <c r="F1" t="s">
        <v>8</v>
      </c>
      <c r="J1" t="s">
        <v>0</v>
      </c>
      <c r="K1" t="s">
        <v>27</v>
      </c>
    </row>
    <row r="2" spans="1:11" x14ac:dyDescent="0.2">
      <c r="A2" t="s">
        <v>28</v>
      </c>
      <c r="B2">
        <v>1</v>
      </c>
      <c r="C2">
        <v>142.935</v>
      </c>
      <c r="D2">
        <v>86194.097999999998</v>
      </c>
      <c r="E2">
        <v>36812.504000000001</v>
      </c>
      <c r="F2">
        <v>290147.09399999998</v>
      </c>
      <c r="J2" t="s">
        <v>28</v>
      </c>
      <c r="K2">
        <v>1122.5838988048151</v>
      </c>
    </row>
    <row r="3" spans="1:11" x14ac:dyDescent="0.2">
      <c r="B3">
        <v>2</v>
      </c>
      <c r="C3">
        <v>87.447999999999993</v>
      </c>
      <c r="D3">
        <v>86809.118000000002</v>
      </c>
      <c r="E3">
        <v>37183.508000000002</v>
      </c>
      <c r="F3">
        <v>196147.04699999999</v>
      </c>
      <c r="J3">
        <v>2</v>
      </c>
      <c r="K3">
        <v>957.41500680638649</v>
      </c>
    </row>
    <row r="4" spans="1:11" x14ac:dyDescent="0.2">
      <c r="B4">
        <v>3</v>
      </c>
      <c r="C4">
        <v>74.204999999999998</v>
      </c>
      <c r="D4">
        <v>94871.205000000002</v>
      </c>
      <c r="E4">
        <v>61416.141000000003</v>
      </c>
      <c r="F4">
        <v>152240.18799999999</v>
      </c>
      <c r="J4">
        <v>3</v>
      </c>
      <c r="K4">
        <v>1123.7730073289074</v>
      </c>
    </row>
    <row r="5" spans="1:11" x14ac:dyDescent="0.2">
      <c r="B5">
        <v>4</v>
      </c>
      <c r="C5">
        <v>106.16500000000001</v>
      </c>
      <c r="D5">
        <v>91212.603000000003</v>
      </c>
      <c r="E5">
        <v>42036.754000000001</v>
      </c>
      <c r="F5">
        <v>147479.67199999999</v>
      </c>
      <c r="J5">
        <v>4</v>
      </c>
      <c r="K5">
        <v>1997.9166984780093</v>
      </c>
    </row>
    <row r="6" spans="1:11" x14ac:dyDescent="0.2">
      <c r="B6">
        <v>5</v>
      </c>
      <c r="C6">
        <v>51.417999999999999</v>
      </c>
      <c r="D6">
        <v>95284.627999999997</v>
      </c>
      <c r="E6">
        <v>67588.633000000002</v>
      </c>
      <c r="F6">
        <v>160136.734</v>
      </c>
      <c r="J6">
        <v>5</v>
      </c>
      <c r="K6">
        <v>1734.872133871183</v>
      </c>
    </row>
    <row r="7" spans="1:11" x14ac:dyDescent="0.2">
      <c r="B7">
        <v>6</v>
      </c>
      <c r="C7">
        <v>29.297000000000001</v>
      </c>
      <c r="D7">
        <v>83408.058999999994</v>
      </c>
      <c r="E7">
        <v>71403.523000000001</v>
      </c>
      <c r="F7">
        <v>99477.726999999999</v>
      </c>
      <c r="J7">
        <v>6</v>
      </c>
      <c r="K7">
        <v>1240.9609845098623</v>
      </c>
    </row>
    <row r="8" spans="1:11" x14ac:dyDescent="0.2">
      <c r="B8">
        <v>7</v>
      </c>
      <c r="C8">
        <v>79.826999999999998</v>
      </c>
      <c r="D8">
        <v>85260.578999999998</v>
      </c>
      <c r="E8">
        <v>68725.187999999995</v>
      </c>
      <c r="F8">
        <v>113892.867</v>
      </c>
      <c r="J8">
        <v>8</v>
      </c>
      <c r="K8">
        <v>1072.2256333936002</v>
      </c>
    </row>
    <row r="9" spans="1:11" x14ac:dyDescent="0.2">
      <c r="B9">
        <v>8</v>
      </c>
      <c r="C9">
        <v>59.63</v>
      </c>
      <c r="D9">
        <v>76196.130999999994</v>
      </c>
      <c r="E9">
        <v>65421.891000000003</v>
      </c>
      <c r="F9">
        <v>102637.44500000001</v>
      </c>
      <c r="J9">
        <v>9</v>
      </c>
      <c r="K9">
        <v>1081.309394065855</v>
      </c>
    </row>
    <row r="10" spans="1:11" x14ac:dyDescent="0.2">
      <c r="B10">
        <v>9</v>
      </c>
      <c r="C10">
        <v>64.364999999999995</v>
      </c>
      <c r="D10">
        <v>81284.937999999995</v>
      </c>
      <c r="E10">
        <v>71035.914000000004</v>
      </c>
      <c r="F10">
        <v>101308.281</v>
      </c>
      <c r="J10">
        <v>10</v>
      </c>
      <c r="K10">
        <v>1250.7067393238433</v>
      </c>
    </row>
    <row r="11" spans="1:11" x14ac:dyDescent="0.2">
      <c r="C11" s="1">
        <f>SUM(C2:C10)</f>
        <v>695.29000000000008</v>
      </c>
      <c r="D11" s="1">
        <f>SUM(D2:D10)</f>
        <v>780521.35900000005</v>
      </c>
      <c r="G11">
        <f>D11/C11</f>
        <v>1122.5838988048151</v>
      </c>
      <c r="J11">
        <v>11</v>
      </c>
      <c r="K11">
        <v>1797.9129615184611</v>
      </c>
    </row>
    <row r="12" spans="1:11" x14ac:dyDescent="0.2">
      <c r="J12">
        <v>12</v>
      </c>
      <c r="K12">
        <v>1161.3755523304435</v>
      </c>
    </row>
    <row r="13" spans="1:11" x14ac:dyDescent="0.2">
      <c r="A13">
        <v>2</v>
      </c>
      <c r="B13">
        <v>1</v>
      </c>
      <c r="C13">
        <v>74.057000000000002</v>
      </c>
      <c r="D13">
        <v>80390.835999999996</v>
      </c>
      <c r="E13">
        <v>58997.023000000001</v>
      </c>
      <c r="F13">
        <v>164538.734</v>
      </c>
      <c r="J13">
        <v>13</v>
      </c>
      <c r="K13">
        <v>806.1424840031184</v>
      </c>
    </row>
    <row r="14" spans="1:11" x14ac:dyDescent="0.2">
      <c r="B14">
        <v>2</v>
      </c>
      <c r="C14">
        <v>13.613</v>
      </c>
      <c r="D14">
        <v>63816.561000000002</v>
      </c>
      <c r="E14">
        <v>60164.425999999999</v>
      </c>
      <c r="F14">
        <v>68409.422000000006</v>
      </c>
      <c r="J14">
        <v>14</v>
      </c>
      <c r="K14">
        <v>938.75880219670591</v>
      </c>
    </row>
    <row r="15" spans="1:11" x14ac:dyDescent="0.2">
      <c r="B15">
        <v>3</v>
      </c>
      <c r="C15">
        <v>14.500999999999999</v>
      </c>
      <c r="D15">
        <v>61755.233</v>
      </c>
      <c r="E15">
        <v>56541.883000000002</v>
      </c>
      <c r="F15">
        <v>68500.937999999995</v>
      </c>
      <c r="J15">
        <v>15</v>
      </c>
      <c r="K15">
        <v>1513.3190476606624</v>
      </c>
    </row>
    <row r="16" spans="1:11" x14ac:dyDescent="0.2">
      <c r="B16">
        <v>4</v>
      </c>
      <c r="C16">
        <v>227.71899999999999</v>
      </c>
      <c r="D16">
        <v>90453.81</v>
      </c>
      <c r="E16">
        <v>41219.652000000002</v>
      </c>
      <c r="F16">
        <v>425056.75</v>
      </c>
      <c r="J16">
        <v>16</v>
      </c>
      <c r="K16">
        <v>380.68152369785525</v>
      </c>
    </row>
    <row r="17" spans="1:11" x14ac:dyDescent="0.2">
      <c r="B17">
        <v>5</v>
      </c>
      <c r="C17">
        <v>65.623000000000005</v>
      </c>
      <c r="D17">
        <v>105098.26700000001</v>
      </c>
      <c r="E17">
        <v>74949.226999999999</v>
      </c>
      <c r="F17">
        <v>312750</v>
      </c>
      <c r="J17">
        <v>17</v>
      </c>
      <c r="K17">
        <v>869.84493546442013</v>
      </c>
    </row>
    <row r="18" spans="1:11" x14ac:dyDescent="0.2">
      <c r="B18">
        <v>6</v>
      </c>
      <c r="C18">
        <v>162.244</v>
      </c>
      <c r="D18">
        <v>96006.403999999995</v>
      </c>
      <c r="E18">
        <v>67753.991999999998</v>
      </c>
      <c r="F18">
        <v>185997.609</v>
      </c>
      <c r="J18">
        <v>18</v>
      </c>
      <c r="K18">
        <v>727.81092611775478</v>
      </c>
    </row>
    <row r="19" spans="1:11" x14ac:dyDescent="0.2">
      <c r="B19">
        <v>7</v>
      </c>
      <c r="C19">
        <v>74.796999999999997</v>
      </c>
      <c r="D19">
        <v>114036.681</v>
      </c>
      <c r="E19">
        <v>62939.836000000003</v>
      </c>
      <c r="F19">
        <v>578632.75</v>
      </c>
      <c r="J19">
        <v>19</v>
      </c>
      <c r="K19">
        <v>733.79973426533013</v>
      </c>
    </row>
    <row r="20" spans="1:11" x14ac:dyDescent="0.2">
      <c r="B20">
        <v>8</v>
      </c>
      <c r="C20">
        <v>96.991</v>
      </c>
      <c r="D20">
        <v>80360.625</v>
      </c>
      <c r="E20">
        <v>40756.288999999997</v>
      </c>
      <c r="F20">
        <v>167563.43799999999</v>
      </c>
      <c r="J20">
        <v>20</v>
      </c>
      <c r="K20">
        <v>1194.3566037869737</v>
      </c>
    </row>
    <row r="21" spans="1:11" x14ac:dyDescent="0.2">
      <c r="B21">
        <v>9</v>
      </c>
      <c r="C21">
        <v>113.04600000000001</v>
      </c>
      <c r="D21">
        <v>114790.851</v>
      </c>
      <c r="E21">
        <v>61277.516000000003</v>
      </c>
      <c r="F21">
        <v>590287.68799999997</v>
      </c>
      <c r="J21">
        <v>21</v>
      </c>
      <c r="K21">
        <v>1206.9514640805953</v>
      </c>
    </row>
    <row r="22" spans="1:11" x14ac:dyDescent="0.2">
      <c r="C22" s="1">
        <f>SUM(C13:C21)</f>
        <v>842.59100000000001</v>
      </c>
      <c r="D22" s="1">
        <f>SUM(D13:D21)</f>
        <v>806709.26800000004</v>
      </c>
      <c r="G22">
        <f>D22/C22</f>
        <v>957.41500680638649</v>
      </c>
      <c r="J22" t="s">
        <v>30</v>
      </c>
      <c r="K22">
        <f>AVERAGE(K2:K21)</f>
        <v>1145.635876585239</v>
      </c>
    </row>
    <row r="24" spans="1:11" x14ac:dyDescent="0.2">
      <c r="A24">
        <v>3</v>
      </c>
      <c r="B24">
        <v>1</v>
      </c>
      <c r="C24">
        <v>226.31299999999999</v>
      </c>
      <c r="D24">
        <v>78638.202999999994</v>
      </c>
      <c r="E24">
        <v>57467.675999999999</v>
      </c>
      <c r="F24">
        <v>122843.07799999999</v>
      </c>
    </row>
    <row r="25" spans="1:11" x14ac:dyDescent="0.2">
      <c r="B25">
        <v>2</v>
      </c>
      <c r="C25">
        <v>88.409000000000006</v>
      </c>
      <c r="D25">
        <v>86794.614000000001</v>
      </c>
      <c r="E25">
        <v>63557.527000000002</v>
      </c>
      <c r="F25">
        <v>171237.53099999999</v>
      </c>
    </row>
    <row r="26" spans="1:11" x14ac:dyDescent="0.2">
      <c r="B26">
        <v>3</v>
      </c>
      <c r="C26">
        <v>8.1379999999999999</v>
      </c>
      <c r="D26">
        <v>107341.012</v>
      </c>
      <c r="E26">
        <v>91938.108999999997</v>
      </c>
      <c r="F26">
        <v>146555.45300000001</v>
      </c>
    </row>
    <row r="27" spans="1:11" x14ac:dyDescent="0.2">
      <c r="B27">
        <v>4</v>
      </c>
      <c r="C27">
        <v>21.233000000000001</v>
      </c>
      <c r="D27">
        <v>75140.331999999995</v>
      </c>
      <c r="E27">
        <v>62481.332000000002</v>
      </c>
      <c r="F27">
        <v>101631.406</v>
      </c>
    </row>
    <row r="28" spans="1:11" x14ac:dyDescent="0.2">
      <c r="B28">
        <v>5</v>
      </c>
      <c r="C28">
        <v>55.265000000000001</v>
      </c>
      <c r="D28">
        <v>72519.637000000002</v>
      </c>
      <c r="E28">
        <v>59302.129000000001</v>
      </c>
      <c r="F28">
        <v>117260.648</v>
      </c>
    </row>
    <row r="29" spans="1:11" x14ac:dyDescent="0.2">
      <c r="B29">
        <v>6</v>
      </c>
      <c r="C29">
        <v>52.823999999999998</v>
      </c>
      <c r="D29">
        <v>87716.127999999997</v>
      </c>
      <c r="E29">
        <v>71940.047000000006</v>
      </c>
      <c r="F29">
        <v>111283.633</v>
      </c>
    </row>
    <row r="30" spans="1:11" x14ac:dyDescent="0.2">
      <c r="C30" s="1">
        <f>SUM(C24:C29)</f>
        <v>452.18199999999996</v>
      </c>
      <c r="D30" s="1">
        <f>SUM(D24:D29)</f>
        <v>508149.92599999998</v>
      </c>
      <c r="G30">
        <f>D30/C30</f>
        <v>1123.7730073289074</v>
      </c>
    </row>
    <row r="32" spans="1:11" x14ac:dyDescent="0.2">
      <c r="A32">
        <v>4</v>
      </c>
      <c r="B32">
        <v>1</v>
      </c>
      <c r="C32">
        <v>206.93</v>
      </c>
      <c r="D32">
        <v>109469.25599999999</v>
      </c>
      <c r="E32">
        <v>70935.554999999993</v>
      </c>
      <c r="F32">
        <v>511737.03100000002</v>
      </c>
    </row>
    <row r="33" spans="1:7" x14ac:dyDescent="0.2">
      <c r="B33">
        <v>2</v>
      </c>
      <c r="C33">
        <v>18.347999999999999</v>
      </c>
      <c r="D33">
        <v>125870.054</v>
      </c>
      <c r="E33">
        <v>97201.468999999997</v>
      </c>
      <c r="F33">
        <v>223060.34400000001</v>
      </c>
    </row>
    <row r="34" spans="1:7" x14ac:dyDescent="0.2">
      <c r="B34">
        <v>3</v>
      </c>
      <c r="C34">
        <v>26.782</v>
      </c>
      <c r="D34">
        <v>109797.452</v>
      </c>
      <c r="E34">
        <v>74092.366999999998</v>
      </c>
      <c r="F34">
        <v>165337.65599999999</v>
      </c>
    </row>
    <row r="35" spans="1:7" x14ac:dyDescent="0.2">
      <c r="B35">
        <v>4</v>
      </c>
      <c r="C35">
        <v>32.552</v>
      </c>
      <c r="D35">
        <v>120743.075</v>
      </c>
      <c r="E35">
        <v>80820.820000000007</v>
      </c>
      <c r="F35">
        <v>186845.59400000001</v>
      </c>
    </row>
    <row r="36" spans="1:7" x14ac:dyDescent="0.2">
      <c r="B36">
        <v>5</v>
      </c>
      <c r="C36">
        <v>43.576000000000001</v>
      </c>
      <c r="D36">
        <v>106790.7</v>
      </c>
      <c r="E36">
        <v>84071.687999999995</v>
      </c>
      <c r="F36">
        <v>144145.34400000001</v>
      </c>
    </row>
    <row r="37" spans="1:7" x14ac:dyDescent="0.2">
      <c r="B37">
        <v>6</v>
      </c>
      <c r="C37">
        <v>10.949</v>
      </c>
      <c r="D37">
        <v>144694.133</v>
      </c>
      <c r="E37">
        <v>97741.077999999994</v>
      </c>
      <c r="F37">
        <v>360577.84399999998</v>
      </c>
    </row>
    <row r="38" spans="1:7" x14ac:dyDescent="0.2">
      <c r="B38">
        <v>7</v>
      </c>
      <c r="C38">
        <v>58.298000000000002</v>
      </c>
      <c r="D38">
        <v>122352.7</v>
      </c>
      <c r="E38">
        <v>96834.273000000001</v>
      </c>
      <c r="F38">
        <v>277797.90600000002</v>
      </c>
    </row>
    <row r="39" spans="1:7" x14ac:dyDescent="0.2">
      <c r="B39">
        <v>8</v>
      </c>
      <c r="C39">
        <v>9.0259999999999998</v>
      </c>
      <c r="D39">
        <v>106497.016</v>
      </c>
      <c r="E39">
        <v>93083.875</v>
      </c>
      <c r="F39">
        <v>124596.734</v>
      </c>
    </row>
    <row r="40" spans="1:7" x14ac:dyDescent="0.2">
      <c r="B40">
        <v>9</v>
      </c>
      <c r="C40">
        <v>38.619</v>
      </c>
      <c r="D40">
        <v>132762.08100000001</v>
      </c>
      <c r="E40">
        <v>99980.914000000004</v>
      </c>
      <c r="F40">
        <v>292424.375</v>
      </c>
    </row>
    <row r="41" spans="1:7" x14ac:dyDescent="0.2">
      <c r="B41">
        <v>10</v>
      </c>
      <c r="C41">
        <v>41.578000000000003</v>
      </c>
      <c r="D41">
        <v>104742.629</v>
      </c>
      <c r="E41">
        <v>61871.016000000003</v>
      </c>
      <c r="F41">
        <v>139872.42199999999</v>
      </c>
    </row>
    <row r="42" spans="1:7" x14ac:dyDescent="0.2">
      <c r="B42">
        <v>11</v>
      </c>
      <c r="C42">
        <v>120.074</v>
      </c>
      <c r="D42">
        <v>95575.664999999994</v>
      </c>
      <c r="E42">
        <v>71805.085999999996</v>
      </c>
      <c r="F42">
        <v>143294.75</v>
      </c>
    </row>
    <row r="43" spans="1:7" x14ac:dyDescent="0.2">
      <c r="B43">
        <v>12</v>
      </c>
      <c r="C43">
        <v>79.605999999999995</v>
      </c>
      <c r="D43">
        <v>91951.39</v>
      </c>
      <c r="E43">
        <v>68740.070000000007</v>
      </c>
      <c r="F43">
        <v>169916.109</v>
      </c>
    </row>
    <row r="44" spans="1:7" x14ac:dyDescent="0.2">
      <c r="C44" s="1">
        <f>SUM(C32:C43)</f>
        <v>686.33799999999997</v>
      </c>
      <c r="D44" s="1">
        <f>SUM(D32:D43)</f>
        <v>1371246.1509999998</v>
      </c>
      <c r="G44">
        <f>D44/C44</f>
        <v>1997.9166984780093</v>
      </c>
    </row>
    <row r="46" spans="1:7" x14ac:dyDescent="0.2">
      <c r="A46">
        <v>5</v>
      </c>
      <c r="B46">
        <v>1</v>
      </c>
      <c r="C46">
        <v>65.326999999999998</v>
      </c>
      <c r="D46">
        <v>86905.286999999997</v>
      </c>
      <c r="E46">
        <v>40112.648000000001</v>
      </c>
      <c r="F46">
        <v>156442.59400000001</v>
      </c>
    </row>
    <row r="47" spans="1:7" x14ac:dyDescent="0.2">
      <c r="B47">
        <v>2</v>
      </c>
      <c r="C47">
        <v>13.760999999999999</v>
      </c>
      <c r="D47">
        <v>105200.43700000001</v>
      </c>
      <c r="E47">
        <v>79478.508000000002</v>
      </c>
      <c r="F47">
        <v>217095.5</v>
      </c>
    </row>
    <row r="48" spans="1:7" x14ac:dyDescent="0.2">
      <c r="B48">
        <v>3</v>
      </c>
      <c r="C48">
        <v>98.692999999999998</v>
      </c>
      <c r="D48">
        <v>109462.667</v>
      </c>
      <c r="E48">
        <v>67782.281000000003</v>
      </c>
      <c r="F48">
        <v>275914.43800000002</v>
      </c>
    </row>
    <row r="49" spans="1:7" x14ac:dyDescent="0.2">
      <c r="B49">
        <v>4</v>
      </c>
      <c r="C49">
        <v>32.921999999999997</v>
      </c>
      <c r="D49">
        <v>98135.953999999998</v>
      </c>
      <c r="E49">
        <v>74110.085999999996</v>
      </c>
      <c r="F49">
        <v>138230.625</v>
      </c>
    </row>
    <row r="50" spans="1:7" x14ac:dyDescent="0.2">
      <c r="B50">
        <v>5</v>
      </c>
      <c r="C50">
        <v>28.483000000000001</v>
      </c>
      <c r="D50">
        <v>113073.84299999999</v>
      </c>
      <c r="E50">
        <v>85095.741999999998</v>
      </c>
      <c r="F50">
        <v>163789.359</v>
      </c>
    </row>
    <row r="51" spans="1:7" x14ac:dyDescent="0.2">
      <c r="B51">
        <v>6</v>
      </c>
      <c r="C51">
        <v>16.646000000000001</v>
      </c>
      <c r="D51">
        <v>105256.371</v>
      </c>
      <c r="E51">
        <v>90199.32</v>
      </c>
      <c r="F51">
        <v>119300.039</v>
      </c>
    </row>
    <row r="52" spans="1:7" x14ac:dyDescent="0.2">
      <c r="B52">
        <v>7</v>
      </c>
      <c r="C52">
        <v>33.143999999999998</v>
      </c>
      <c r="D52">
        <v>104152.659</v>
      </c>
      <c r="E52">
        <v>72369.273000000001</v>
      </c>
      <c r="F52">
        <v>148216.59400000001</v>
      </c>
    </row>
    <row r="53" spans="1:7" x14ac:dyDescent="0.2">
      <c r="B53">
        <v>8</v>
      </c>
      <c r="C53">
        <v>19.088000000000001</v>
      </c>
      <c r="D53">
        <v>100999.817</v>
      </c>
      <c r="E53">
        <v>86555.952999999994</v>
      </c>
      <c r="F53">
        <v>130794.281</v>
      </c>
    </row>
    <row r="54" spans="1:7" x14ac:dyDescent="0.2">
      <c r="B54">
        <v>9</v>
      </c>
      <c r="C54">
        <v>52.158000000000001</v>
      </c>
      <c r="D54">
        <v>94532.668000000005</v>
      </c>
      <c r="E54">
        <v>76265.297000000006</v>
      </c>
      <c r="F54">
        <v>126958.133</v>
      </c>
    </row>
    <row r="55" spans="1:7" x14ac:dyDescent="0.2">
      <c r="B55">
        <v>10</v>
      </c>
      <c r="C55">
        <v>100.913</v>
      </c>
      <c r="D55">
        <v>95475.324999999997</v>
      </c>
      <c r="E55">
        <v>75897.422000000006</v>
      </c>
      <c r="F55">
        <v>127369.367</v>
      </c>
    </row>
    <row r="56" spans="1:7" x14ac:dyDescent="0.2">
      <c r="B56">
        <v>11</v>
      </c>
      <c r="C56">
        <v>23.009</v>
      </c>
      <c r="D56">
        <v>91519.877999999997</v>
      </c>
      <c r="E56">
        <v>78660.039000000004</v>
      </c>
      <c r="F56">
        <v>106139.266</v>
      </c>
    </row>
    <row r="57" spans="1:7" x14ac:dyDescent="0.2">
      <c r="B57">
        <v>12</v>
      </c>
      <c r="C57">
        <v>226.09100000000001</v>
      </c>
      <c r="D57">
        <v>127452.004</v>
      </c>
      <c r="E57">
        <v>65996.226999999999</v>
      </c>
      <c r="F57">
        <v>267574.25</v>
      </c>
    </row>
    <row r="58" spans="1:7" x14ac:dyDescent="0.2">
      <c r="C58" s="1">
        <f>SUM(C46:C57)</f>
        <v>710.23500000000013</v>
      </c>
      <c r="D58" s="1">
        <f>SUM(D46:D57)</f>
        <v>1232166.9099999999</v>
      </c>
      <c r="G58">
        <f>D58/C58</f>
        <v>1734.872133871183</v>
      </c>
    </row>
    <row r="60" spans="1:7" x14ac:dyDescent="0.2">
      <c r="A60">
        <v>6</v>
      </c>
      <c r="B60">
        <v>1</v>
      </c>
      <c r="C60">
        <v>162.98400000000001</v>
      </c>
      <c r="D60">
        <v>82411.150999999998</v>
      </c>
      <c r="E60">
        <v>57759.714999999997</v>
      </c>
      <c r="F60">
        <v>196653.25</v>
      </c>
    </row>
    <row r="61" spans="1:7" x14ac:dyDescent="0.2">
      <c r="B61">
        <v>2</v>
      </c>
      <c r="C61">
        <v>143.52699999999999</v>
      </c>
      <c r="D61">
        <v>93782.846000000005</v>
      </c>
      <c r="E61">
        <v>43098.902000000002</v>
      </c>
      <c r="F61">
        <v>248618.125</v>
      </c>
    </row>
    <row r="62" spans="1:7" x14ac:dyDescent="0.2">
      <c r="B62">
        <v>3</v>
      </c>
      <c r="C62">
        <v>33.588000000000001</v>
      </c>
      <c r="D62">
        <v>93012.775999999998</v>
      </c>
      <c r="E62">
        <v>71562.452999999994</v>
      </c>
      <c r="F62">
        <v>243753.92199999999</v>
      </c>
    </row>
    <row r="63" spans="1:7" x14ac:dyDescent="0.2">
      <c r="B63">
        <v>4</v>
      </c>
      <c r="C63">
        <v>32.109000000000002</v>
      </c>
      <c r="D63">
        <v>83871.285999999993</v>
      </c>
      <c r="E63">
        <v>69779.891000000003</v>
      </c>
      <c r="F63">
        <v>254918.82800000001</v>
      </c>
    </row>
    <row r="64" spans="1:7" x14ac:dyDescent="0.2">
      <c r="B64">
        <v>5</v>
      </c>
      <c r="C64">
        <v>5.4749999999999996</v>
      </c>
      <c r="D64">
        <v>53340.504999999997</v>
      </c>
      <c r="E64">
        <v>50662.733999999997</v>
      </c>
      <c r="F64">
        <v>57978.438000000002</v>
      </c>
    </row>
    <row r="65" spans="1:7" x14ac:dyDescent="0.2">
      <c r="B65">
        <v>6</v>
      </c>
      <c r="C65">
        <v>4.883</v>
      </c>
      <c r="D65">
        <v>68330.915999999997</v>
      </c>
      <c r="E65">
        <v>63217.949000000001</v>
      </c>
      <c r="F65">
        <v>72022.148000000001</v>
      </c>
    </row>
    <row r="66" spans="1:7" x14ac:dyDescent="0.2">
      <c r="C66" s="1">
        <f>SUM(C60:C65)</f>
        <v>382.56599999999997</v>
      </c>
      <c r="D66" s="1">
        <f>SUM(D60:D65)</f>
        <v>474749.48</v>
      </c>
      <c r="G66">
        <f>D66/C66</f>
        <v>1240.9609845098623</v>
      </c>
    </row>
    <row r="68" spans="1:7" x14ac:dyDescent="0.2">
      <c r="A68" t="s">
        <v>29</v>
      </c>
      <c r="B68">
        <v>1</v>
      </c>
      <c r="C68">
        <v>82.564999999999998</v>
      </c>
      <c r="D68">
        <v>84021.327999999994</v>
      </c>
      <c r="E68">
        <v>58778.733999999997</v>
      </c>
      <c r="F68">
        <v>191187.016</v>
      </c>
    </row>
    <row r="69" spans="1:7" x14ac:dyDescent="0.2">
      <c r="B69">
        <v>2</v>
      </c>
      <c r="C69">
        <v>74.352999999999994</v>
      </c>
      <c r="D69">
        <v>95976.544999999998</v>
      </c>
      <c r="E69">
        <v>69510.468999999997</v>
      </c>
      <c r="F69">
        <v>155691.46900000001</v>
      </c>
    </row>
    <row r="70" spans="1:7" x14ac:dyDescent="0.2">
      <c r="B70">
        <v>3</v>
      </c>
      <c r="C70">
        <v>78.866</v>
      </c>
      <c r="D70">
        <v>98384.995999999999</v>
      </c>
      <c r="E70">
        <v>74574.414000000004</v>
      </c>
      <c r="F70">
        <v>206497.04699999999</v>
      </c>
    </row>
    <row r="71" spans="1:7" x14ac:dyDescent="0.2">
      <c r="B71">
        <v>4</v>
      </c>
      <c r="C71">
        <v>195.61099999999999</v>
      </c>
      <c r="D71">
        <v>104750.683</v>
      </c>
      <c r="E71">
        <v>70645.812000000005</v>
      </c>
      <c r="F71">
        <v>646984.25</v>
      </c>
    </row>
    <row r="72" spans="1:7" x14ac:dyDescent="0.2">
      <c r="B72">
        <v>5</v>
      </c>
      <c r="C72">
        <v>8.5820000000000007</v>
      </c>
      <c r="D72">
        <v>85978.915999999997</v>
      </c>
      <c r="E72">
        <v>78232.476999999999</v>
      </c>
      <c r="F72">
        <v>93940.554999999993</v>
      </c>
    </row>
    <row r="73" spans="1:7" x14ac:dyDescent="0.2">
      <c r="B73">
        <v>6</v>
      </c>
      <c r="C73">
        <v>66.659000000000006</v>
      </c>
      <c r="D73">
        <v>74115.638000000006</v>
      </c>
      <c r="E73">
        <v>63697.957000000002</v>
      </c>
      <c r="F73">
        <v>113704.586</v>
      </c>
    </row>
    <row r="74" spans="1:7" x14ac:dyDescent="0.2">
      <c r="C74" s="1">
        <f>SUM(C68:C73)</f>
        <v>506.63599999999997</v>
      </c>
      <c r="D74" s="1">
        <f>SUM(D68:D73)</f>
        <v>543228.10600000003</v>
      </c>
      <c r="G74">
        <f>D74/C74</f>
        <v>1072.2256333936002</v>
      </c>
    </row>
    <row r="76" spans="1:7" x14ac:dyDescent="0.2">
      <c r="A76">
        <v>9</v>
      </c>
      <c r="B76">
        <v>1</v>
      </c>
      <c r="C76">
        <v>242.072</v>
      </c>
      <c r="D76">
        <v>105265.148</v>
      </c>
      <c r="E76">
        <v>55686.531000000003</v>
      </c>
      <c r="F76">
        <v>546296.56200000003</v>
      </c>
    </row>
    <row r="77" spans="1:7" x14ac:dyDescent="0.2">
      <c r="B77">
        <v>2</v>
      </c>
      <c r="C77">
        <v>143.15700000000001</v>
      </c>
      <c r="D77">
        <v>121167</v>
      </c>
      <c r="E77">
        <v>56817.175999999999</v>
      </c>
      <c r="F77">
        <v>573572.25</v>
      </c>
    </row>
    <row r="78" spans="1:7" x14ac:dyDescent="0.2">
      <c r="B78">
        <v>3</v>
      </c>
      <c r="C78">
        <v>45.573</v>
      </c>
      <c r="D78">
        <v>111236.401</v>
      </c>
      <c r="E78">
        <v>83044.195000000007</v>
      </c>
      <c r="F78">
        <v>249636.45300000001</v>
      </c>
    </row>
    <row r="79" spans="1:7" x14ac:dyDescent="0.2">
      <c r="B79">
        <v>4</v>
      </c>
      <c r="C79">
        <v>12.946999999999999</v>
      </c>
      <c r="D79">
        <v>82670.554000000004</v>
      </c>
      <c r="E79">
        <v>73085.297000000006</v>
      </c>
      <c r="F79">
        <v>120557.141</v>
      </c>
    </row>
    <row r="80" spans="1:7" x14ac:dyDescent="0.2">
      <c r="B80">
        <v>5</v>
      </c>
      <c r="C80">
        <v>100.46899999999999</v>
      </c>
      <c r="D80">
        <v>102889.917</v>
      </c>
      <c r="E80">
        <v>64649.129000000001</v>
      </c>
      <c r="F80">
        <v>440801.46899999998</v>
      </c>
    </row>
    <row r="81" spans="1:7" x14ac:dyDescent="0.2">
      <c r="B81">
        <v>6</v>
      </c>
      <c r="C81">
        <v>90.555000000000007</v>
      </c>
      <c r="D81">
        <v>101282.92600000001</v>
      </c>
      <c r="E81">
        <v>68819.101999999999</v>
      </c>
      <c r="F81">
        <v>491371.40600000002</v>
      </c>
    </row>
    <row r="82" spans="1:7" x14ac:dyDescent="0.2">
      <c r="B82">
        <v>7</v>
      </c>
      <c r="C82">
        <v>72.281000000000006</v>
      </c>
      <c r="D82">
        <v>85686.256999999998</v>
      </c>
      <c r="E82">
        <v>66591.508000000002</v>
      </c>
      <c r="F82">
        <v>254577.84400000001</v>
      </c>
    </row>
    <row r="83" spans="1:7" x14ac:dyDescent="0.2">
      <c r="B83">
        <v>8</v>
      </c>
      <c r="C83">
        <v>69.691999999999993</v>
      </c>
      <c r="D83">
        <v>60175.625</v>
      </c>
      <c r="E83">
        <v>46333.008000000002</v>
      </c>
      <c r="F83">
        <v>83198.437999999995</v>
      </c>
    </row>
    <row r="84" spans="1:7" x14ac:dyDescent="0.2">
      <c r="B84">
        <v>9</v>
      </c>
      <c r="C84">
        <v>47.866999999999997</v>
      </c>
      <c r="D84">
        <v>51460.283000000003</v>
      </c>
      <c r="E84">
        <v>29778.078000000001</v>
      </c>
      <c r="F84">
        <v>72335.156000000003</v>
      </c>
    </row>
    <row r="85" spans="1:7" x14ac:dyDescent="0.2">
      <c r="B85">
        <v>10</v>
      </c>
      <c r="C85">
        <v>6.88</v>
      </c>
      <c r="D85">
        <v>77267.081000000006</v>
      </c>
      <c r="E85">
        <v>71152.906000000003</v>
      </c>
      <c r="F85">
        <v>88425.991999999998</v>
      </c>
    </row>
    <row r="86" spans="1:7" x14ac:dyDescent="0.2">
      <c r="C86" s="1">
        <f>SUM(C76:C85)</f>
        <v>831.49300000000005</v>
      </c>
      <c r="D86" s="1">
        <f>SUM(D76:D85)</f>
        <v>899101.19200000004</v>
      </c>
      <c r="G86">
        <f>D86/C86</f>
        <v>1081.309394065855</v>
      </c>
    </row>
    <row r="88" spans="1:7" x14ac:dyDescent="0.2">
      <c r="A88">
        <v>10</v>
      </c>
      <c r="B88">
        <v>1</v>
      </c>
      <c r="C88">
        <v>121.48</v>
      </c>
      <c r="D88">
        <v>100339.283</v>
      </c>
      <c r="E88">
        <v>75090.866999999998</v>
      </c>
      <c r="F88">
        <v>185744.29699999999</v>
      </c>
    </row>
    <row r="89" spans="1:7" x14ac:dyDescent="0.2">
      <c r="B89">
        <v>2</v>
      </c>
      <c r="C89">
        <v>11.244999999999999</v>
      </c>
      <c r="D89">
        <v>97962.751999999993</v>
      </c>
      <c r="E89">
        <v>88953.875</v>
      </c>
      <c r="F89">
        <v>113847.45299999999</v>
      </c>
    </row>
    <row r="90" spans="1:7" x14ac:dyDescent="0.2">
      <c r="B90">
        <v>3</v>
      </c>
      <c r="C90">
        <v>125.919</v>
      </c>
      <c r="D90">
        <v>88292.141000000003</v>
      </c>
      <c r="E90">
        <v>52384.546999999999</v>
      </c>
      <c r="F90">
        <v>132721.04699999999</v>
      </c>
    </row>
    <row r="91" spans="1:7" x14ac:dyDescent="0.2">
      <c r="B91">
        <v>4</v>
      </c>
      <c r="C91">
        <v>57.189</v>
      </c>
      <c r="D91">
        <v>88535.826000000001</v>
      </c>
      <c r="E91">
        <v>72821.616999999998</v>
      </c>
      <c r="F91">
        <v>113747.859</v>
      </c>
    </row>
    <row r="92" spans="1:7" x14ac:dyDescent="0.2">
      <c r="B92">
        <v>5</v>
      </c>
      <c r="C92">
        <v>31.295000000000002</v>
      </c>
      <c r="D92">
        <v>86318.233999999997</v>
      </c>
      <c r="E92">
        <v>76415.75</v>
      </c>
      <c r="F92">
        <v>105224.82</v>
      </c>
    </row>
    <row r="93" spans="1:7" x14ac:dyDescent="0.2">
      <c r="B93">
        <v>6</v>
      </c>
      <c r="C93">
        <v>33.292000000000002</v>
      </c>
      <c r="D93">
        <v>86653.044999999998</v>
      </c>
      <c r="E93">
        <v>69919.577999999994</v>
      </c>
      <c r="F93">
        <v>135245.21900000001</v>
      </c>
    </row>
    <row r="94" spans="1:7" x14ac:dyDescent="0.2">
      <c r="B94">
        <v>7</v>
      </c>
      <c r="C94">
        <v>107.423</v>
      </c>
      <c r="D94">
        <v>86523.508000000002</v>
      </c>
      <c r="E94">
        <v>70445.968999999997</v>
      </c>
      <c r="F94">
        <v>110850.383</v>
      </c>
    </row>
    <row r="95" spans="1:7" x14ac:dyDescent="0.2">
      <c r="B95">
        <v>8</v>
      </c>
      <c r="C95">
        <v>125.253</v>
      </c>
      <c r="D95">
        <v>86042.752999999997</v>
      </c>
      <c r="E95">
        <v>57003.5</v>
      </c>
      <c r="F95">
        <v>152967.68799999999</v>
      </c>
    </row>
    <row r="96" spans="1:7" x14ac:dyDescent="0.2">
      <c r="B96">
        <v>9</v>
      </c>
      <c r="C96">
        <v>34.328000000000003</v>
      </c>
      <c r="D96">
        <v>89070.017999999996</v>
      </c>
      <c r="E96">
        <v>71861.241999999998</v>
      </c>
      <c r="F96">
        <v>166216.07800000001</v>
      </c>
    </row>
    <row r="97" spans="1:7" x14ac:dyDescent="0.2">
      <c r="C97" s="1">
        <f>SUM(C88:C96)</f>
        <v>647.42400000000009</v>
      </c>
      <c r="D97" s="1">
        <f>SUM(D88:D96)</f>
        <v>809737.56</v>
      </c>
      <c r="G97">
        <f>D97/C97</f>
        <v>1250.7067393238433</v>
      </c>
    </row>
    <row r="99" spans="1:7" x14ac:dyDescent="0.2">
      <c r="A99">
        <v>11</v>
      </c>
      <c r="B99">
        <v>1</v>
      </c>
      <c r="C99">
        <v>257.53399999999999</v>
      </c>
      <c r="D99">
        <v>55013.059000000001</v>
      </c>
      <c r="E99">
        <v>36123.188000000002</v>
      </c>
      <c r="F99">
        <v>92081.358999999997</v>
      </c>
    </row>
    <row r="100" spans="1:7" x14ac:dyDescent="0.2">
      <c r="B100">
        <v>2</v>
      </c>
      <c r="C100">
        <v>19.013999999999999</v>
      </c>
      <c r="D100">
        <v>54120.146000000001</v>
      </c>
      <c r="E100">
        <v>44439.32</v>
      </c>
      <c r="F100">
        <v>73484.827999999994</v>
      </c>
    </row>
    <row r="101" spans="1:7" x14ac:dyDescent="0.2">
      <c r="B101">
        <v>3</v>
      </c>
      <c r="C101">
        <v>9.6180000000000003</v>
      </c>
      <c r="D101">
        <v>77724.926999999996</v>
      </c>
      <c r="E101">
        <v>57332.398000000001</v>
      </c>
      <c r="F101">
        <v>120280.211</v>
      </c>
    </row>
    <row r="102" spans="1:7" x14ac:dyDescent="0.2">
      <c r="B102">
        <v>4</v>
      </c>
      <c r="C102">
        <v>9.9879999999999995</v>
      </c>
      <c r="D102">
        <v>68219.923999999999</v>
      </c>
      <c r="E102">
        <v>54775.434000000001</v>
      </c>
      <c r="F102">
        <v>85159.187999999995</v>
      </c>
    </row>
    <row r="103" spans="1:7" x14ac:dyDescent="0.2">
      <c r="B103">
        <v>5</v>
      </c>
      <c r="C103">
        <v>17.385999999999999</v>
      </c>
      <c r="D103">
        <v>94918.909</v>
      </c>
      <c r="E103">
        <v>68646.116999999998</v>
      </c>
      <c r="F103">
        <v>172655.78099999999</v>
      </c>
    </row>
    <row r="104" spans="1:7" x14ac:dyDescent="0.2">
      <c r="B104">
        <v>6</v>
      </c>
      <c r="C104">
        <v>80.123000000000005</v>
      </c>
      <c r="D104">
        <v>64586.968000000001</v>
      </c>
      <c r="E104">
        <v>42801.351999999999</v>
      </c>
      <c r="F104">
        <v>117578.234</v>
      </c>
    </row>
    <row r="105" spans="1:7" x14ac:dyDescent="0.2">
      <c r="B105">
        <v>7</v>
      </c>
      <c r="C105">
        <v>5.0309999999999997</v>
      </c>
      <c r="D105">
        <v>87471.451000000001</v>
      </c>
      <c r="E105">
        <v>74245.687999999995</v>
      </c>
      <c r="F105">
        <v>102451.258</v>
      </c>
    </row>
    <row r="106" spans="1:7" x14ac:dyDescent="0.2">
      <c r="B106">
        <v>8</v>
      </c>
      <c r="C106">
        <v>16.794</v>
      </c>
      <c r="D106">
        <v>60779.08</v>
      </c>
      <c r="E106">
        <v>47826.195</v>
      </c>
      <c r="F106">
        <v>77674.929999999993</v>
      </c>
    </row>
    <row r="107" spans="1:7" x14ac:dyDescent="0.2">
      <c r="B107">
        <v>9</v>
      </c>
      <c r="C107">
        <v>30.259</v>
      </c>
      <c r="D107">
        <v>54262.497000000003</v>
      </c>
      <c r="E107">
        <v>43199.875</v>
      </c>
      <c r="F107">
        <v>78557.648000000001</v>
      </c>
    </row>
    <row r="108" spans="1:7" x14ac:dyDescent="0.2">
      <c r="B108">
        <v>10</v>
      </c>
      <c r="C108">
        <v>66.510999999999996</v>
      </c>
      <c r="D108">
        <v>86290.694000000003</v>
      </c>
      <c r="E108">
        <v>43564.714999999997</v>
      </c>
      <c r="F108">
        <v>503496.5</v>
      </c>
    </row>
    <row r="109" spans="1:7" x14ac:dyDescent="0.2">
      <c r="B109">
        <v>11</v>
      </c>
      <c r="C109">
        <v>10.506</v>
      </c>
      <c r="D109">
        <v>72689.123999999996</v>
      </c>
      <c r="E109">
        <v>57788.714999999997</v>
      </c>
      <c r="F109">
        <v>83692.258000000002</v>
      </c>
    </row>
    <row r="110" spans="1:7" x14ac:dyDescent="0.2">
      <c r="B110">
        <v>12</v>
      </c>
      <c r="C110">
        <v>105.943</v>
      </c>
      <c r="D110">
        <v>112059.482</v>
      </c>
      <c r="E110">
        <v>73159.468999999997</v>
      </c>
      <c r="F110">
        <v>479111.46899999998</v>
      </c>
    </row>
    <row r="111" spans="1:7" x14ac:dyDescent="0.2">
      <c r="B111">
        <v>13</v>
      </c>
      <c r="C111">
        <v>14.871</v>
      </c>
      <c r="D111">
        <v>102029.467</v>
      </c>
      <c r="E111">
        <v>73145.258000000002</v>
      </c>
      <c r="F111">
        <v>152733.46900000001</v>
      </c>
    </row>
    <row r="112" spans="1:7" x14ac:dyDescent="0.2">
      <c r="B112">
        <v>14</v>
      </c>
      <c r="C112">
        <v>15.388</v>
      </c>
      <c r="D112">
        <v>99570.47</v>
      </c>
      <c r="E112">
        <v>70290.210999999996</v>
      </c>
      <c r="F112">
        <v>176694.75</v>
      </c>
    </row>
    <row r="113" spans="1:7" x14ac:dyDescent="0.2">
      <c r="B113">
        <v>15</v>
      </c>
      <c r="C113">
        <v>6.5839999999999996</v>
      </c>
      <c r="D113">
        <v>88149.228000000003</v>
      </c>
      <c r="E113">
        <v>73977.773000000001</v>
      </c>
      <c r="F113">
        <v>120073.125</v>
      </c>
    </row>
    <row r="114" spans="1:7" x14ac:dyDescent="0.2">
      <c r="B114">
        <v>16</v>
      </c>
      <c r="C114">
        <v>96.03</v>
      </c>
      <c r="D114">
        <v>105576.56</v>
      </c>
      <c r="E114">
        <v>71134.968999999997</v>
      </c>
      <c r="F114">
        <v>259535.95300000001</v>
      </c>
    </row>
    <row r="115" spans="1:7" x14ac:dyDescent="0.2">
      <c r="B115">
        <v>17</v>
      </c>
      <c r="C115">
        <v>7.62</v>
      </c>
      <c r="D115">
        <v>99492.664000000004</v>
      </c>
      <c r="E115">
        <v>82128.608999999997</v>
      </c>
      <c r="F115">
        <v>127171.81200000001</v>
      </c>
    </row>
    <row r="116" spans="1:7" x14ac:dyDescent="0.2">
      <c r="C116" s="1">
        <f>SUM(C99:C115)</f>
        <v>769.19999999999993</v>
      </c>
      <c r="D116" s="1">
        <f>SUM(D99:D115)</f>
        <v>1382954.6500000001</v>
      </c>
      <c r="G116">
        <f>D116/C116</f>
        <v>1797.9129615184611</v>
      </c>
    </row>
    <row r="118" spans="1:7" x14ac:dyDescent="0.2">
      <c r="A118">
        <v>12</v>
      </c>
      <c r="B118">
        <v>1</v>
      </c>
      <c r="C118">
        <v>320.78899999999999</v>
      </c>
      <c r="D118">
        <v>125921.486</v>
      </c>
      <c r="E118">
        <v>46464.758000000002</v>
      </c>
      <c r="F118">
        <v>764481.875</v>
      </c>
    </row>
    <row r="119" spans="1:7" x14ac:dyDescent="0.2">
      <c r="B119">
        <v>2</v>
      </c>
      <c r="C119">
        <v>76.128</v>
      </c>
      <c r="D119">
        <v>118029.04300000001</v>
      </c>
      <c r="E119">
        <v>82328.577999999994</v>
      </c>
      <c r="F119">
        <v>454645.40600000002</v>
      </c>
    </row>
    <row r="120" spans="1:7" x14ac:dyDescent="0.2">
      <c r="B120">
        <v>3</v>
      </c>
      <c r="C120">
        <v>50.9</v>
      </c>
      <c r="D120">
        <v>110754.493</v>
      </c>
      <c r="E120">
        <v>83606.812000000005</v>
      </c>
      <c r="F120">
        <v>442621.09399999998</v>
      </c>
    </row>
    <row r="121" spans="1:7" x14ac:dyDescent="0.2">
      <c r="B121">
        <v>4</v>
      </c>
      <c r="C121">
        <v>41.652000000000001</v>
      </c>
      <c r="D121">
        <v>102449.86500000001</v>
      </c>
      <c r="E121">
        <v>72394.547000000006</v>
      </c>
      <c r="F121">
        <v>324545.43800000002</v>
      </c>
    </row>
    <row r="122" spans="1:7" x14ac:dyDescent="0.2">
      <c r="B122">
        <v>5</v>
      </c>
      <c r="C122">
        <v>41.207999999999998</v>
      </c>
      <c r="D122">
        <v>102521.905</v>
      </c>
      <c r="E122">
        <v>68325.297000000006</v>
      </c>
      <c r="F122">
        <v>309473.18800000002</v>
      </c>
    </row>
    <row r="123" spans="1:7" x14ac:dyDescent="0.2">
      <c r="B123">
        <v>6</v>
      </c>
      <c r="C123">
        <v>25.376000000000001</v>
      </c>
      <c r="D123">
        <v>86109.567999999999</v>
      </c>
      <c r="E123">
        <v>73069.758000000002</v>
      </c>
      <c r="F123">
        <v>121837.883</v>
      </c>
    </row>
    <row r="124" spans="1:7" x14ac:dyDescent="0.2">
      <c r="C124" s="1">
        <f>SUM(C118:C123)</f>
        <v>556.05299999999988</v>
      </c>
      <c r="D124" s="1">
        <f>SUM(D118:D123)</f>
        <v>645786.36</v>
      </c>
      <c r="G124">
        <f>D124/C124</f>
        <v>1161.3755523304435</v>
      </c>
    </row>
    <row r="126" spans="1:7" x14ac:dyDescent="0.2">
      <c r="A126">
        <v>13</v>
      </c>
      <c r="B126">
        <v>1</v>
      </c>
      <c r="C126">
        <v>208.262</v>
      </c>
      <c r="D126">
        <v>74149.182000000001</v>
      </c>
      <c r="E126">
        <v>39854.421999999999</v>
      </c>
      <c r="F126">
        <v>191757.29699999999</v>
      </c>
    </row>
    <row r="127" spans="1:7" x14ac:dyDescent="0.2">
      <c r="B127">
        <v>2</v>
      </c>
      <c r="C127">
        <v>186.43700000000001</v>
      </c>
      <c r="D127">
        <v>91842.495999999999</v>
      </c>
      <c r="E127">
        <v>56509.32</v>
      </c>
      <c r="F127">
        <v>225370.21900000001</v>
      </c>
    </row>
    <row r="128" spans="1:7" x14ac:dyDescent="0.2">
      <c r="B128">
        <v>3</v>
      </c>
      <c r="C128">
        <v>74.575000000000003</v>
      </c>
      <c r="D128">
        <v>103444.357</v>
      </c>
      <c r="E128">
        <v>71060.781000000003</v>
      </c>
      <c r="F128">
        <v>276048.84399999998</v>
      </c>
    </row>
    <row r="129" spans="1:7" x14ac:dyDescent="0.2">
      <c r="B129">
        <v>4</v>
      </c>
      <c r="C129">
        <v>83.822999999999993</v>
      </c>
      <c r="D129">
        <v>96786.528000000006</v>
      </c>
      <c r="E129">
        <v>73990.358999999997</v>
      </c>
      <c r="F129">
        <v>278375.96899999998</v>
      </c>
    </row>
    <row r="130" spans="1:7" x14ac:dyDescent="0.2">
      <c r="B130">
        <v>5</v>
      </c>
      <c r="C130">
        <v>99.210999999999999</v>
      </c>
      <c r="D130">
        <v>93210.665999999997</v>
      </c>
      <c r="E130">
        <v>61791.086000000003</v>
      </c>
      <c r="F130">
        <v>610123.06200000003</v>
      </c>
    </row>
    <row r="131" spans="1:7" x14ac:dyDescent="0.2">
      <c r="B131">
        <v>6</v>
      </c>
      <c r="C131">
        <v>58.741999999999997</v>
      </c>
      <c r="D131">
        <v>106244.102</v>
      </c>
      <c r="E131">
        <v>83612.320000000007</v>
      </c>
      <c r="F131">
        <v>169275.125</v>
      </c>
    </row>
    <row r="132" spans="1:7" x14ac:dyDescent="0.2">
      <c r="B132">
        <v>7</v>
      </c>
      <c r="C132">
        <v>152.405</v>
      </c>
      <c r="D132">
        <v>82132.519</v>
      </c>
      <c r="E132">
        <v>52171.523000000001</v>
      </c>
      <c r="F132">
        <v>168977.375</v>
      </c>
    </row>
    <row r="133" spans="1:7" x14ac:dyDescent="0.2">
      <c r="B133">
        <v>8</v>
      </c>
      <c r="C133">
        <v>62.662999999999997</v>
      </c>
      <c r="D133">
        <v>98773.214999999997</v>
      </c>
      <c r="E133">
        <v>76423.335999999996</v>
      </c>
      <c r="F133">
        <v>144830.18799999999</v>
      </c>
    </row>
    <row r="134" spans="1:7" x14ac:dyDescent="0.2">
      <c r="C134" s="1">
        <f>SUM(C126:C133)</f>
        <v>926.11799999999994</v>
      </c>
      <c r="D134" s="1">
        <f>SUM(D126:D133)</f>
        <v>746583.06499999994</v>
      </c>
      <c r="G134">
        <f>D134/C134</f>
        <v>806.1424840031184</v>
      </c>
    </row>
    <row r="136" spans="1:7" x14ac:dyDescent="0.2">
      <c r="A136">
        <v>14</v>
      </c>
      <c r="B136">
        <v>1</v>
      </c>
      <c r="C136">
        <v>92.552999999999997</v>
      </c>
      <c r="D136">
        <v>141727.46400000001</v>
      </c>
      <c r="E136">
        <v>96983.195000000007</v>
      </c>
      <c r="F136">
        <v>234686.375</v>
      </c>
    </row>
    <row r="137" spans="1:7" x14ac:dyDescent="0.2">
      <c r="B137">
        <v>2</v>
      </c>
      <c r="C137">
        <v>164.09399999999999</v>
      </c>
      <c r="D137">
        <v>99051.376000000004</v>
      </c>
      <c r="E137">
        <v>66226.016000000003</v>
      </c>
      <c r="F137">
        <v>626277.43799999997</v>
      </c>
    </row>
    <row r="138" spans="1:7" x14ac:dyDescent="0.2">
      <c r="B138">
        <v>3</v>
      </c>
      <c r="C138">
        <v>31.887</v>
      </c>
      <c r="D138">
        <v>69337.498000000007</v>
      </c>
      <c r="E138">
        <v>62717.527000000002</v>
      </c>
      <c r="F138">
        <v>91931.164000000004</v>
      </c>
    </row>
    <row r="139" spans="1:7" x14ac:dyDescent="0.2">
      <c r="B139">
        <v>4</v>
      </c>
      <c r="C139">
        <v>152.553</v>
      </c>
      <c r="D139">
        <v>69751.900999999998</v>
      </c>
      <c r="E139">
        <v>52848.167999999998</v>
      </c>
      <c r="F139">
        <v>94920.539000000004</v>
      </c>
    </row>
    <row r="140" spans="1:7" x14ac:dyDescent="0.2">
      <c r="B140">
        <v>5</v>
      </c>
      <c r="C140">
        <v>50.012</v>
      </c>
      <c r="D140">
        <v>81155.27</v>
      </c>
      <c r="E140">
        <v>56256.031000000003</v>
      </c>
      <c r="F140">
        <v>435425.21899999998</v>
      </c>
    </row>
    <row r="141" spans="1:7" x14ac:dyDescent="0.2">
      <c r="C141" s="1">
        <f>SUM(C136:C140)</f>
        <v>491.09899999999999</v>
      </c>
      <c r="D141" s="1">
        <f>SUM(D136:D140)</f>
        <v>461023.50900000008</v>
      </c>
      <c r="G141">
        <f>D141/C141</f>
        <v>938.75880219670591</v>
      </c>
    </row>
    <row r="143" spans="1:7" x14ac:dyDescent="0.2">
      <c r="A143">
        <v>15</v>
      </c>
      <c r="B143">
        <v>1</v>
      </c>
      <c r="C143">
        <v>108.90300000000001</v>
      </c>
      <c r="D143">
        <v>116569.341</v>
      </c>
      <c r="E143">
        <v>81366.437999999995</v>
      </c>
      <c r="F143">
        <v>210531.516</v>
      </c>
    </row>
    <row r="144" spans="1:7" x14ac:dyDescent="0.2">
      <c r="B144">
        <v>2</v>
      </c>
      <c r="C144">
        <v>83.230999999999995</v>
      </c>
      <c r="D144">
        <v>108660.55499999999</v>
      </c>
      <c r="E144">
        <v>84097.641000000003</v>
      </c>
      <c r="F144">
        <v>178254.82800000001</v>
      </c>
    </row>
    <row r="145" spans="1:7" x14ac:dyDescent="0.2">
      <c r="B145">
        <v>3</v>
      </c>
      <c r="C145">
        <v>60.148000000000003</v>
      </c>
      <c r="D145">
        <v>107690.05</v>
      </c>
      <c r="E145">
        <v>90583.133000000002</v>
      </c>
      <c r="F145">
        <v>143070.31200000001</v>
      </c>
    </row>
    <row r="146" spans="1:7" x14ac:dyDescent="0.2">
      <c r="B146">
        <v>4</v>
      </c>
      <c r="C146">
        <v>68.507999999999996</v>
      </c>
      <c r="D146">
        <v>107495.436</v>
      </c>
      <c r="E146">
        <v>90517.883000000002</v>
      </c>
      <c r="F146">
        <v>162098.07800000001</v>
      </c>
    </row>
    <row r="147" spans="1:7" x14ac:dyDescent="0.2">
      <c r="B147">
        <v>5</v>
      </c>
      <c r="C147">
        <v>70.432000000000002</v>
      </c>
      <c r="D147">
        <v>122501.05499999999</v>
      </c>
      <c r="E147">
        <v>89853.351999999999</v>
      </c>
      <c r="F147">
        <v>251656.54699999999</v>
      </c>
    </row>
    <row r="148" spans="1:7" x14ac:dyDescent="0.2">
      <c r="B148">
        <v>6</v>
      </c>
      <c r="C148">
        <v>27.966000000000001</v>
      </c>
      <c r="D148">
        <v>92639.876999999993</v>
      </c>
      <c r="E148">
        <v>78397.233999999997</v>
      </c>
      <c r="F148">
        <v>145820.15599999999</v>
      </c>
    </row>
    <row r="149" spans="1:7" x14ac:dyDescent="0.2">
      <c r="B149">
        <v>7</v>
      </c>
      <c r="C149">
        <v>114.96899999999999</v>
      </c>
      <c r="D149">
        <v>94155.085000000006</v>
      </c>
      <c r="E149">
        <v>80940.101999999999</v>
      </c>
      <c r="F149">
        <v>128636.68799999999</v>
      </c>
    </row>
    <row r="150" spans="1:7" x14ac:dyDescent="0.2">
      <c r="B150">
        <v>8</v>
      </c>
      <c r="C150">
        <v>30.036999999999999</v>
      </c>
      <c r="D150">
        <v>92778.433000000005</v>
      </c>
      <c r="E150">
        <v>84535.327999999994</v>
      </c>
      <c r="F150">
        <v>103428.984</v>
      </c>
    </row>
    <row r="151" spans="1:7" x14ac:dyDescent="0.2">
      <c r="B151">
        <v>9</v>
      </c>
      <c r="C151">
        <v>87.447999999999993</v>
      </c>
      <c r="D151">
        <v>94104.45</v>
      </c>
      <c r="E151">
        <v>82027.679999999993</v>
      </c>
      <c r="F151">
        <v>126931.30499999999</v>
      </c>
    </row>
    <row r="152" spans="1:7" x14ac:dyDescent="0.2">
      <c r="B152">
        <v>10</v>
      </c>
      <c r="C152">
        <v>34.92</v>
      </c>
      <c r="D152">
        <v>102393.07</v>
      </c>
      <c r="E152">
        <v>80074.781000000003</v>
      </c>
      <c r="F152">
        <v>157422.266</v>
      </c>
    </row>
    <row r="153" spans="1:7" x14ac:dyDescent="0.2">
      <c r="C153" s="1">
        <f>SUM(C143:C152)</f>
        <v>686.56200000000001</v>
      </c>
      <c r="D153" s="1">
        <f>SUM(D143:D152)</f>
        <v>1038987.3519999997</v>
      </c>
      <c r="G153">
        <f>D153/C153</f>
        <v>1513.3190476606624</v>
      </c>
    </row>
    <row r="155" spans="1:7" x14ac:dyDescent="0.2">
      <c r="A155">
        <v>16</v>
      </c>
      <c r="B155">
        <v>1</v>
      </c>
      <c r="C155">
        <v>647.86800000000005</v>
      </c>
      <c r="D155">
        <v>65814.861999999994</v>
      </c>
      <c r="E155">
        <v>32564.171999999999</v>
      </c>
      <c r="F155">
        <v>118144.969</v>
      </c>
    </row>
    <row r="156" spans="1:7" x14ac:dyDescent="0.2">
      <c r="B156">
        <v>2</v>
      </c>
      <c r="C156">
        <v>24.562000000000001</v>
      </c>
      <c r="D156">
        <v>62775.400999999998</v>
      </c>
      <c r="E156">
        <v>53092.078000000001</v>
      </c>
      <c r="F156">
        <v>95931.858999999997</v>
      </c>
    </row>
    <row r="157" spans="1:7" x14ac:dyDescent="0.2">
      <c r="B157">
        <v>3</v>
      </c>
      <c r="C157">
        <v>56.744999999999997</v>
      </c>
      <c r="D157">
        <v>66814.782999999996</v>
      </c>
      <c r="E157">
        <v>52308.781000000003</v>
      </c>
      <c r="F157">
        <v>90527.054999999993</v>
      </c>
    </row>
    <row r="158" spans="1:7" x14ac:dyDescent="0.2">
      <c r="B158">
        <v>4</v>
      </c>
      <c r="C158">
        <v>202.935</v>
      </c>
      <c r="D158">
        <v>91396.346999999994</v>
      </c>
      <c r="E158">
        <v>50244.851999999999</v>
      </c>
      <c r="F158">
        <v>266321.46899999998</v>
      </c>
    </row>
    <row r="159" spans="1:7" x14ac:dyDescent="0.2">
      <c r="B159">
        <v>5</v>
      </c>
      <c r="C159">
        <v>108.38500000000001</v>
      </c>
      <c r="D159">
        <v>109295.829</v>
      </c>
      <c r="E159">
        <v>67293.766000000003</v>
      </c>
      <c r="F159">
        <v>401355.46899999998</v>
      </c>
    </row>
    <row r="160" spans="1:7" x14ac:dyDescent="0.2">
      <c r="C160" s="1">
        <f>SUM(C155:C159)</f>
        <v>1040.4950000000001</v>
      </c>
      <c r="D160" s="1">
        <f>SUM(D155:D159)</f>
        <v>396097.22199999995</v>
      </c>
      <c r="G160">
        <f>D160/C160</f>
        <v>380.68152369785525</v>
      </c>
    </row>
    <row r="162" spans="1:7" x14ac:dyDescent="0.2">
      <c r="A162">
        <v>17</v>
      </c>
      <c r="B162">
        <v>1</v>
      </c>
      <c r="C162">
        <v>150.48099999999999</v>
      </c>
      <c r="D162">
        <v>82548.713000000003</v>
      </c>
      <c r="E162">
        <v>73655.241999999998</v>
      </c>
      <c r="F162">
        <v>97098.391000000003</v>
      </c>
    </row>
    <row r="163" spans="1:7" x14ac:dyDescent="0.2">
      <c r="B163">
        <v>2</v>
      </c>
      <c r="C163">
        <v>129.61799999999999</v>
      </c>
      <c r="D163">
        <v>112840.89</v>
      </c>
      <c r="E163">
        <v>68840.929999999993</v>
      </c>
      <c r="F163">
        <v>335401.59399999998</v>
      </c>
    </row>
    <row r="164" spans="1:7" x14ac:dyDescent="0.2">
      <c r="B164">
        <v>3</v>
      </c>
      <c r="C164">
        <v>55.561</v>
      </c>
      <c r="D164">
        <v>103485.192</v>
      </c>
      <c r="E164">
        <v>82929.633000000002</v>
      </c>
      <c r="F164">
        <v>182494.54699999999</v>
      </c>
    </row>
    <row r="165" spans="1:7" x14ac:dyDescent="0.2">
      <c r="B165">
        <v>4</v>
      </c>
      <c r="C165">
        <v>98.248999999999995</v>
      </c>
      <c r="D165">
        <v>82628.834000000003</v>
      </c>
      <c r="E165">
        <v>66609.539000000004</v>
      </c>
      <c r="F165">
        <v>147408.42199999999</v>
      </c>
    </row>
    <row r="166" spans="1:7" x14ac:dyDescent="0.2">
      <c r="B166">
        <v>5</v>
      </c>
      <c r="C166">
        <v>161.357</v>
      </c>
      <c r="D166">
        <v>90360.312999999995</v>
      </c>
      <c r="E166">
        <v>66332.297000000006</v>
      </c>
      <c r="F166">
        <v>405737.81199999998</v>
      </c>
    </row>
    <row r="167" spans="1:7" x14ac:dyDescent="0.2">
      <c r="B167">
        <v>6</v>
      </c>
      <c r="C167">
        <v>18.866</v>
      </c>
      <c r="D167">
        <v>84333.95</v>
      </c>
      <c r="E167">
        <v>69730.937999999995</v>
      </c>
      <c r="F167">
        <v>115196.719</v>
      </c>
    </row>
    <row r="168" spans="1:7" x14ac:dyDescent="0.2">
      <c r="B168">
        <v>7</v>
      </c>
      <c r="C168">
        <v>121.776</v>
      </c>
      <c r="D168">
        <v>120113.477</v>
      </c>
      <c r="E168">
        <v>71354.391000000003</v>
      </c>
      <c r="F168">
        <v>422845.43800000002</v>
      </c>
    </row>
    <row r="169" spans="1:7" x14ac:dyDescent="0.2">
      <c r="B169">
        <v>8</v>
      </c>
      <c r="C169">
        <v>179.55600000000001</v>
      </c>
      <c r="D169">
        <v>120000.355</v>
      </c>
      <c r="E169">
        <v>72519.968999999997</v>
      </c>
      <c r="F169">
        <v>324524.18800000002</v>
      </c>
    </row>
    <row r="170" spans="1:7" x14ac:dyDescent="0.2">
      <c r="C170" s="1">
        <f>SUM(C162:C169)</f>
        <v>915.46399999999994</v>
      </c>
      <c r="D170" s="1">
        <f>SUM(D162:D169)</f>
        <v>796311.72399999981</v>
      </c>
      <c r="G170">
        <f>D170/C170</f>
        <v>869.84493546442013</v>
      </c>
    </row>
    <row r="172" spans="1:7" x14ac:dyDescent="0.2">
      <c r="A172">
        <v>18</v>
      </c>
      <c r="B172">
        <v>1</v>
      </c>
      <c r="C172">
        <v>248.58199999999999</v>
      </c>
      <c r="D172">
        <v>95100.346999999994</v>
      </c>
      <c r="E172">
        <v>36988.855000000003</v>
      </c>
      <c r="F172">
        <v>444180.09399999998</v>
      </c>
    </row>
    <row r="173" spans="1:7" x14ac:dyDescent="0.2">
      <c r="B173">
        <v>2</v>
      </c>
      <c r="C173">
        <v>78.347999999999999</v>
      </c>
      <c r="D173">
        <v>85343.873999999996</v>
      </c>
      <c r="E173">
        <v>67110.077999999994</v>
      </c>
      <c r="F173">
        <v>322323.06199999998</v>
      </c>
    </row>
    <row r="174" spans="1:7" x14ac:dyDescent="0.2">
      <c r="B174">
        <v>3</v>
      </c>
      <c r="C174">
        <v>31.221</v>
      </c>
      <c r="D174">
        <v>80221.990000000005</v>
      </c>
      <c r="E174">
        <v>68874.476999999999</v>
      </c>
      <c r="F174">
        <v>138890.92199999999</v>
      </c>
    </row>
    <row r="175" spans="1:7" x14ac:dyDescent="0.2">
      <c r="C175" s="1">
        <f>SUM(C172:C174)</f>
        <v>358.15100000000001</v>
      </c>
      <c r="D175" s="1">
        <f>SUM(D172:D174)</f>
        <v>260666.21100000001</v>
      </c>
      <c r="G175">
        <f>D175/C175</f>
        <v>727.81092611775478</v>
      </c>
    </row>
    <row r="177" spans="1:7" x14ac:dyDescent="0.2">
      <c r="A177">
        <v>19</v>
      </c>
      <c r="B177">
        <v>1</v>
      </c>
      <c r="C177">
        <v>428.36099999999999</v>
      </c>
      <c r="D177">
        <v>82139.909</v>
      </c>
      <c r="E177">
        <v>55446.046999999999</v>
      </c>
      <c r="F177">
        <v>161614.70300000001</v>
      </c>
    </row>
    <row r="178" spans="1:7" x14ac:dyDescent="0.2">
      <c r="B178">
        <v>2</v>
      </c>
      <c r="C178">
        <v>211.14699999999999</v>
      </c>
      <c r="D178">
        <v>139582.42499999999</v>
      </c>
      <c r="E178">
        <v>89822.687999999995</v>
      </c>
      <c r="F178">
        <v>829522.25</v>
      </c>
    </row>
    <row r="179" spans="1:7" x14ac:dyDescent="0.2">
      <c r="B179">
        <v>3</v>
      </c>
      <c r="C179">
        <v>61.036000000000001</v>
      </c>
      <c r="D179">
        <v>131040</v>
      </c>
      <c r="E179">
        <v>99285.351999999999</v>
      </c>
      <c r="F179">
        <v>290306.375</v>
      </c>
    </row>
    <row r="180" spans="1:7" x14ac:dyDescent="0.2">
      <c r="B180">
        <v>4</v>
      </c>
      <c r="C180">
        <v>80.197000000000003</v>
      </c>
      <c r="D180">
        <v>77506.731</v>
      </c>
      <c r="E180">
        <v>68141.531000000003</v>
      </c>
      <c r="F180">
        <v>124898.086</v>
      </c>
    </row>
    <row r="181" spans="1:7" x14ac:dyDescent="0.2">
      <c r="B181">
        <v>5</v>
      </c>
      <c r="C181">
        <v>54.006999999999998</v>
      </c>
      <c r="D181">
        <v>106167.027</v>
      </c>
      <c r="E181">
        <v>92630.031000000003</v>
      </c>
      <c r="F181">
        <v>136474.016</v>
      </c>
    </row>
    <row r="182" spans="1:7" x14ac:dyDescent="0.2">
      <c r="B182">
        <v>6</v>
      </c>
      <c r="C182">
        <v>30.777000000000001</v>
      </c>
      <c r="D182">
        <v>98685.922999999995</v>
      </c>
      <c r="E182">
        <v>87765.343999999997</v>
      </c>
      <c r="F182">
        <v>119943.836</v>
      </c>
    </row>
    <row r="183" spans="1:7" x14ac:dyDescent="0.2">
      <c r="C183" s="1">
        <f>SUM(C177:C182)</f>
        <v>865.52500000000009</v>
      </c>
      <c r="D183" s="1">
        <f>SUM(D177:D182)</f>
        <v>635122.0149999999</v>
      </c>
      <c r="G183">
        <f>D183/C183</f>
        <v>733.79973426533013</v>
      </c>
    </row>
    <row r="185" spans="1:7" x14ac:dyDescent="0.2">
      <c r="A185">
        <v>20</v>
      </c>
      <c r="B185">
        <v>1</v>
      </c>
      <c r="C185">
        <v>107.423</v>
      </c>
      <c r="D185">
        <v>145729.93</v>
      </c>
      <c r="E185">
        <v>117192.977</v>
      </c>
      <c r="F185">
        <v>197174.28099999999</v>
      </c>
    </row>
    <row r="186" spans="1:7" x14ac:dyDescent="0.2">
      <c r="B186">
        <v>2</v>
      </c>
      <c r="C186">
        <v>65.623000000000005</v>
      </c>
      <c r="D186">
        <v>150933.943</v>
      </c>
      <c r="E186">
        <v>121958.859</v>
      </c>
      <c r="F186">
        <v>239977.875</v>
      </c>
    </row>
    <row r="187" spans="1:7" x14ac:dyDescent="0.2">
      <c r="B187">
        <v>3</v>
      </c>
      <c r="C187">
        <v>86.263999999999996</v>
      </c>
      <c r="D187">
        <v>153202.753</v>
      </c>
      <c r="E187">
        <v>118476.617</v>
      </c>
      <c r="F187">
        <v>242715.65599999999</v>
      </c>
    </row>
    <row r="188" spans="1:7" x14ac:dyDescent="0.2">
      <c r="B188">
        <v>4</v>
      </c>
      <c r="C188">
        <v>58.15</v>
      </c>
      <c r="D188">
        <v>134186.00399999999</v>
      </c>
      <c r="E188">
        <v>109351.93799999999</v>
      </c>
      <c r="F188">
        <v>185019.891</v>
      </c>
    </row>
    <row r="189" spans="1:7" x14ac:dyDescent="0.2">
      <c r="B189">
        <v>5</v>
      </c>
      <c r="C189">
        <v>99.433000000000007</v>
      </c>
      <c r="D189">
        <v>135124.72099999999</v>
      </c>
      <c r="E189">
        <v>102729.289</v>
      </c>
      <c r="F189">
        <v>273256.71899999998</v>
      </c>
    </row>
    <row r="190" spans="1:7" x14ac:dyDescent="0.2">
      <c r="B190">
        <v>6</v>
      </c>
      <c r="C190">
        <v>83.897000000000006</v>
      </c>
      <c r="D190">
        <v>133021.402</v>
      </c>
      <c r="E190">
        <v>103232.602</v>
      </c>
      <c r="F190">
        <v>237933.56200000001</v>
      </c>
    </row>
    <row r="191" spans="1:7" x14ac:dyDescent="0.2">
      <c r="B191">
        <v>7</v>
      </c>
      <c r="C191">
        <v>279.87700000000001</v>
      </c>
      <c r="D191">
        <v>163874.16899999999</v>
      </c>
      <c r="E191">
        <v>107449</v>
      </c>
      <c r="F191">
        <v>907776.375</v>
      </c>
    </row>
    <row r="192" spans="1:7" x14ac:dyDescent="0.2">
      <c r="B192">
        <v>8</v>
      </c>
      <c r="C192">
        <v>205.82</v>
      </c>
      <c r="D192">
        <v>162144.34099999999</v>
      </c>
      <c r="E192">
        <v>85912.218999999997</v>
      </c>
      <c r="F192">
        <v>547091.125</v>
      </c>
    </row>
    <row r="193" spans="1:7" x14ac:dyDescent="0.2">
      <c r="C193" s="1">
        <f>SUM(C185:C192)</f>
        <v>986.48699999999985</v>
      </c>
      <c r="D193" s="1">
        <f>SUM(D185:D192)</f>
        <v>1178217.263</v>
      </c>
      <c r="G193">
        <f>D193/C193</f>
        <v>1194.3566037869737</v>
      </c>
    </row>
    <row r="195" spans="1:7" x14ac:dyDescent="0.2">
      <c r="A195">
        <v>21</v>
      </c>
      <c r="B195">
        <v>1</v>
      </c>
      <c r="C195">
        <v>187.32400000000001</v>
      </c>
      <c r="D195">
        <v>105722.576</v>
      </c>
      <c r="E195">
        <v>57467.887000000002</v>
      </c>
      <c r="F195">
        <v>167785.03099999999</v>
      </c>
    </row>
    <row r="196" spans="1:7" x14ac:dyDescent="0.2">
      <c r="B196">
        <v>2</v>
      </c>
      <c r="C196">
        <v>145.08000000000001</v>
      </c>
      <c r="D196">
        <v>111788.575</v>
      </c>
      <c r="E196">
        <v>87227.695000000007</v>
      </c>
      <c r="F196">
        <v>173104.78099999999</v>
      </c>
    </row>
    <row r="197" spans="1:7" x14ac:dyDescent="0.2">
      <c r="B197">
        <v>3</v>
      </c>
      <c r="C197">
        <v>39.877000000000002</v>
      </c>
      <c r="D197">
        <v>104641.84699999999</v>
      </c>
      <c r="E197">
        <v>92050.945000000007</v>
      </c>
      <c r="F197">
        <v>139068.71900000001</v>
      </c>
    </row>
    <row r="198" spans="1:7" x14ac:dyDescent="0.2">
      <c r="B198">
        <v>4</v>
      </c>
      <c r="C198">
        <v>36.326000000000001</v>
      </c>
      <c r="D198">
        <v>103169.035</v>
      </c>
      <c r="E198">
        <v>93082.75</v>
      </c>
      <c r="F198">
        <v>120125.141</v>
      </c>
    </row>
    <row r="199" spans="1:7" x14ac:dyDescent="0.2">
      <c r="B199">
        <v>5</v>
      </c>
      <c r="C199">
        <v>45.573</v>
      </c>
      <c r="D199">
        <v>100621.939</v>
      </c>
      <c r="E199">
        <v>81135.258000000002</v>
      </c>
      <c r="F199">
        <v>140428.57800000001</v>
      </c>
    </row>
    <row r="200" spans="1:7" x14ac:dyDescent="0.2">
      <c r="B200">
        <v>6</v>
      </c>
      <c r="C200">
        <v>80.049000000000007</v>
      </c>
      <c r="D200">
        <v>97914.429000000004</v>
      </c>
      <c r="E200">
        <v>80714.108999999997</v>
      </c>
      <c r="F200">
        <v>142946.875</v>
      </c>
    </row>
    <row r="201" spans="1:7" x14ac:dyDescent="0.2">
      <c r="B201">
        <v>7</v>
      </c>
      <c r="C201">
        <v>47.866999999999997</v>
      </c>
      <c r="D201">
        <v>100195.628</v>
      </c>
      <c r="E201">
        <v>82042.976999999999</v>
      </c>
      <c r="F201">
        <v>144781.59400000001</v>
      </c>
    </row>
    <row r="202" spans="1:7" x14ac:dyDescent="0.2">
      <c r="B202">
        <v>8</v>
      </c>
      <c r="C202">
        <v>118.89</v>
      </c>
      <c r="D202">
        <v>122002.05</v>
      </c>
      <c r="E202">
        <v>87012.460999999996</v>
      </c>
      <c r="F202">
        <v>481047.96899999998</v>
      </c>
    </row>
    <row r="203" spans="1:7" x14ac:dyDescent="0.2">
      <c r="C203">
        <f>SUM(C195:C202)</f>
        <v>700.98599999999999</v>
      </c>
      <c r="D203">
        <f>SUM(D195:D202)</f>
        <v>846056.07900000014</v>
      </c>
      <c r="G203">
        <f>D203/C203</f>
        <v>1206.9514640805953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wt</vt:lpstr>
      <vt:lpstr>wy1932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Anay Ram K Reddy</dc:creator>
  <cp:lastModifiedBy>Anay Ram K Reddy</cp:lastModifiedBy>
  <dcterms:created xsi:type="dcterms:W3CDTF">2025-08-12T19:26:11Z</dcterms:created>
  <dcterms:modified xsi:type="dcterms:W3CDTF">2025-08-13T21:20:26Z</dcterms:modified>
</cp:coreProperties>
</file>