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reddy/Desktop/Test quantifications for PVD morph/Adobe Illustrator Files/Redone figures/S1/"/>
    </mc:Choice>
  </mc:AlternateContent>
  <xr:revisionPtr revIDLastSave="0" documentId="13_ncr:1_{D3DC83B7-4700-6142-9EFA-125313A3BE52}" xr6:coauthVersionLast="47" xr6:coauthVersionMax="47" xr10:uidLastSave="{00000000-0000-0000-0000-000000000000}"/>
  <bookViews>
    <workbookView xWindow="480" yWindow="1000" windowWidth="25040" windowHeight="14080" activeTab="1" xr2:uid="{BDA4A7BD-0824-2947-B370-7FF8D63A13A5}"/>
  </bookViews>
  <sheets>
    <sheet name="dma-1  gfp  aid 0mM" sheetId="1" r:id="rId1"/>
    <sheet name="dma-1 gfp aid 10 mM" sheetId="2" r:id="rId2"/>
    <sheet name="dma-1 gfp aid_ WT 0m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H24" i="2"/>
  <c r="H25" i="2"/>
  <c r="H26" i="2"/>
  <c r="H27" i="2"/>
  <c r="H28" i="2"/>
  <c r="H16" i="2"/>
  <c r="H17" i="2"/>
  <c r="H18" i="2"/>
  <c r="H19" i="2"/>
  <c r="H15" i="2"/>
  <c r="H11" i="2"/>
  <c r="H7" i="2"/>
  <c r="H8" i="2"/>
  <c r="H9" i="2"/>
  <c r="H10" i="2"/>
  <c r="H6" i="2"/>
  <c r="H27" i="1"/>
  <c r="H4" i="2"/>
  <c r="H5" i="2"/>
  <c r="H3" i="2"/>
  <c r="H18" i="1"/>
  <c r="H19" i="1"/>
  <c r="H20" i="1"/>
  <c r="H21" i="1"/>
  <c r="H22" i="1"/>
  <c r="H23" i="1"/>
  <c r="H24" i="1"/>
  <c r="H25" i="1"/>
  <c r="H17" i="1"/>
  <c r="H12" i="1"/>
  <c r="H13" i="1"/>
  <c r="H4" i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<sst xmlns="http://schemas.openxmlformats.org/spreadsheetml/2006/main" count="43" uniqueCount="14">
  <si>
    <t>2024_07_24</t>
  </si>
  <si>
    <t>Animal 1</t>
  </si>
  <si>
    <t>Area</t>
  </si>
  <si>
    <t>Mean</t>
  </si>
  <si>
    <t>Min</t>
  </si>
  <si>
    <t>Max</t>
  </si>
  <si>
    <t>IntDen</t>
  </si>
  <si>
    <t>RawIntDen</t>
  </si>
  <si>
    <t>Mean/Area</t>
  </si>
  <si>
    <t>2024_07_25</t>
  </si>
  <si>
    <t>Animal 12</t>
  </si>
  <si>
    <t>2024_05_11</t>
  </si>
  <si>
    <t>2024_05_12</t>
  </si>
  <si>
    <t>2024_05_14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</si>
</sst>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A8E6-E7FE-C744-B63A-A0EF0FBE9C56}">
  <dimension ref="A1:H27"/>
  <sheetViews>
    <sheetView workbookViewId="0">
      <selection activeCell="H17" sqref="H17:H25"/>
    </sheetView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1</v>
      </c>
      <c r="B3">
        <v>1568</v>
      </c>
      <c r="C3">
        <v>132782.48199999999</v>
      </c>
      <c r="D3">
        <v>100456</v>
      </c>
      <c r="E3">
        <v>257055</v>
      </c>
      <c r="F3">
        <v>208202931</v>
      </c>
      <c r="G3">
        <v>208202931</v>
      </c>
      <c r="H3">
        <f>C3/B3</f>
        <v>84.682705357142851</v>
      </c>
    </row>
    <row r="4" spans="1:8" x14ac:dyDescent="0.2">
      <c r="A4">
        <v>2</v>
      </c>
      <c r="B4">
        <v>940</v>
      </c>
      <c r="C4">
        <v>130475.41099999999</v>
      </c>
      <c r="D4">
        <v>58028</v>
      </c>
      <c r="E4">
        <v>281888</v>
      </c>
      <c r="F4">
        <v>122646886</v>
      </c>
      <c r="G4">
        <v>122646886</v>
      </c>
      <c r="H4">
        <f t="shared" ref="H4:H13" si="0">C4/B4</f>
        <v>138.80362872340424</v>
      </c>
    </row>
    <row r="5" spans="1:8" x14ac:dyDescent="0.2">
      <c r="A5">
        <v>3</v>
      </c>
      <c r="B5">
        <v>1014</v>
      </c>
      <c r="C5">
        <v>117004.06600000001</v>
      </c>
      <c r="D5">
        <v>78587</v>
      </c>
      <c r="E5">
        <v>184640</v>
      </c>
      <c r="F5">
        <v>118642123</v>
      </c>
      <c r="G5">
        <v>118642123</v>
      </c>
      <c r="H5">
        <f t="shared" si="0"/>
        <v>115.38862524654833</v>
      </c>
    </row>
    <row r="6" spans="1:8" x14ac:dyDescent="0.2">
      <c r="A6">
        <v>4</v>
      </c>
      <c r="B6">
        <v>721</v>
      </c>
      <c r="C6">
        <v>130476.75199999999</v>
      </c>
      <c r="D6">
        <v>74538</v>
      </c>
      <c r="E6">
        <v>197530</v>
      </c>
      <c r="F6">
        <v>94073738</v>
      </c>
      <c r="G6">
        <v>94073738</v>
      </c>
      <c r="H6">
        <f t="shared" si="0"/>
        <v>180.96636893203882</v>
      </c>
    </row>
    <row r="7" spans="1:8" x14ac:dyDescent="0.2">
      <c r="A7">
        <v>5</v>
      </c>
      <c r="B7">
        <v>967</v>
      </c>
      <c r="C7">
        <v>120804.954</v>
      </c>
      <c r="D7">
        <v>67772</v>
      </c>
      <c r="E7">
        <v>237667</v>
      </c>
      <c r="F7">
        <v>116818391</v>
      </c>
      <c r="G7">
        <v>116818391</v>
      </c>
      <c r="H7">
        <f t="shared" si="0"/>
        <v>124.92756359875905</v>
      </c>
    </row>
    <row r="8" spans="1:8" x14ac:dyDescent="0.2">
      <c r="A8">
        <v>6</v>
      </c>
      <c r="B8">
        <v>838</v>
      </c>
      <c r="C8">
        <v>96955.524000000005</v>
      </c>
      <c r="D8">
        <v>58887</v>
      </c>
      <c r="E8">
        <v>198841</v>
      </c>
      <c r="F8">
        <v>81248729</v>
      </c>
      <c r="G8">
        <v>81248729</v>
      </c>
      <c r="H8">
        <f t="shared" si="0"/>
        <v>115.69871599045346</v>
      </c>
    </row>
    <row r="9" spans="1:8" x14ac:dyDescent="0.2">
      <c r="A9">
        <v>7</v>
      </c>
      <c r="B9">
        <v>1070</v>
      </c>
      <c r="C9">
        <v>100680.33199999999</v>
      </c>
      <c r="D9">
        <v>59264</v>
      </c>
      <c r="E9">
        <v>197199</v>
      </c>
      <c r="F9">
        <v>107727955</v>
      </c>
      <c r="G9">
        <v>107727955</v>
      </c>
      <c r="H9">
        <f t="shared" si="0"/>
        <v>94.093768224299055</v>
      </c>
    </row>
    <row r="10" spans="1:8" x14ac:dyDescent="0.2">
      <c r="A10">
        <v>8</v>
      </c>
      <c r="B10">
        <v>991</v>
      </c>
      <c r="C10">
        <v>101933.844</v>
      </c>
      <c r="D10">
        <v>70778</v>
      </c>
      <c r="E10">
        <v>134839</v>
      </c>
      <c r="F10">
        <v>101016439</v>
      </c>
      <c r="G10">
        <v>101016439</v>
      </c>
      <c r="H10">
        <f t="shared" si="0"/>
        <v>102.85958022199797</v>
      </c>
    </row>
    <row r="11" spans="1:8" x14ac:dyDescent="0.2">
      <c r="A11">
        <v>9</v>
      </c>
      <c r="B11">
        <v>586</v>
      </c>
      <c r="C11">
        <v>108432.985</v>
      </c>
      <c r="D11">
        <v>52998</v>
      </c>
      <c r="E11">
        <v>175914</v>
      </c>
      <c r="F11">
        <v>63541729</v>
      </c>
      <c r="G11">
        <v>63541729</v>
      </c>
      <c r="H11">
        <f t="shared" si="0"/>
        <v>185.03922354948804</v>
      </c>
    </row>
    <row r="12" spans="1:8" x14ac:dyDescent="0.2">
      <c r="A12">
        <v>10</v>
      </c>
      <c r="B12">
        <v>940</v>
      </c>
      <c r="C12">
        <v>123006.22</v>
      </c>
      <c r="D12">
        <v>71405</v>
      </c>
      <c r="E12">
        <v>203258</v>
      </c>
      <c r="F12">
        <v>115625847</v>
      </c>
      <c r="G12">
        <v>115625847</v>
      </c>
      <c r="H12">
        <f>C12/B12</f>
        <v>130.85768085106383</v>
      </c>
    </row>
    <row r="13" spans="1:8" x14ac:dyDescent="0.2">
      <c r="A13">
        <v>11</v>
      </c>
      <c r="B13">
        <v>689</v>
      </c>
      <c r="C13">
        <v>153918.80300000001</v>
      </c>
      <c r="D13">
        <v>84595</v>
      </c>
      <c r="E13">
        <v>268999</v>
      </c>
      <c r="F13">
        <v>106050055</v>
      </c>
      <c r="G13">
        <v>106050055</v>
      </c>
      <c r="H13">
        <f t="shared" si="0"/>
        <v>223.39448911465894</v>
      </c>
    </row>
    <row r="15" spans="1:8" x14ac:dyDescent="0.2">
      <c r="A15" t="s">
        <v>9</v>
      </c>
    </row>
    <row r="16" spans="1:8" x14ac:dyDescent="0.2"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</row>
    <row r="17" spans="1:8" x14ac:dyDescent="0.2">
      <c r="A17" t="s">
        <v>10</v>
      </c>
      <c r="B17">
        <v>737</v>
      </c>
      <c r="C17">
        <v>123238.99099999999</v>
      </c>
      <c r="D17">
        <v>66495</v>
      </c>
      <c r="E17">
        <v>215579</v>
      </c>
      <c r="F17">
        <v>90827136</v>
      </c>
      <c r="G17">
        <v>90827136</v>
      </c>
      <c r="H17">
        <f>C17/B17</f>
        <v>167.21708412483039</v>
      </c>
    </row>
    <row r="18" spans="1:8" x14ac:dyDescent="0.2">
      <c r="A18">
        <v>13</v>
      </c>
      <c r="B18">
        <v>721</v>
      </c>
      <c r="C18">
        <v>123863.753</v>
      </c>
      <c r="D18">
        <v>70147</v>
      </c>
      <c r="E18">
        <v>197071</v>
      </c>
      <c r="F18">
        <v>89305766</v>
      </c>
      <c r="G18">
        <v>89305766</v>
      </c>
      <c r="H18">
        <f t="shared" ref="H18:H25" si="1">C18/B18</f>
        <v>171.79438696255201</v>
      </c>
    </row>
    <row r="19" spans="1:8" x14ac:dyDescent="0.2">
      <c r="A19">
        <v>14</v>
      </c>
      <c r="B19">
        <v>987</v>
      </c>
      <c r="C19">
        <v>128412.936</v>
      </c>
      <c r="D19">
        <v>88562</v>
      </c>
      <c r="E19">
        <v>188787</v>
      </c>
      <c r="F19">
        <v>126743568</v>
      </c>
      <c r="G19">
        <v>126743568</v>
      </c>
      <c r="H19">
        <f t="shared" si="1"/>
        <v>130.10429179331308</v>
      </c>
    </row>
    <row r="20" spans="1:8" x14ac:dyDescent="0.2">
      <c r="A20">
        <v>15</v>
      </c>
      <c r="B20">
        <v>484</v>
      </c>
      <c r="C20">
        <v>128957.783</v>
      </c>
      <c r="D20">
        <v>72562</v>
      </c>
      <c r="E20">
        <v>188933</v>
      </c>
      <c r="F20">
        <v>62415567</v>
      </c>
      <c r="G20">
        <v>62415567</v>
      </c>
      <c r="H20">
        <f t="shared" si="1"/>
        <v>266.44170041322315</v>
      </c>
    </row>
    <row r="21" spans="1:8" x14ac:dyDescent="0.2">
      <c r="A21">
        <v>16</v>
      </c>
      <c r="B21">
        <v>746</v>
      </c>
      <c r="C21">
        <v>147493.005</v>
      </c>
      <c r="D21">
        <v>58574</v>
      </c>
      <c r="E21">
        <v>329341</v>
      </c>
      <c r="F21">
        <v>110029782</v>
      </c>
      <c r="G21">
        <v>110029782</v>
      </c>
      <c r="H21">
        <f t="shared" si="1"/>
        <v>197.71180294906168</v>
      </c>
    </row>
    <row r="22" spans="1:8" x14ac:dyDescent="0.2">
      <c r="A22">
        <v>17</v>
      </c>
      <c r="B22">
        <v>984</v>
      </c>
      <c r="C22">
        <v>136441.69500000001</v>
      </c>
      <c r="D22">
        <v>91945</v>
      </c>
      <c r="E22">
        <v>193960</v>
      </c>
      <c r="F22">
        <v>134258628</v>
      </c>
      <c r="G22">
        <v>134258628</v>
      </c>
      <c r="H22">
        <f t="shared" si="1"/>
        <v>138.66025914634147</v>
      </c>
    </row>
    <row r="23" spans="1:8" x14ac:dyDescent="0.2">
      <c r="A23">
        <v>18</v>
      </c>
      <c r="B23">
        <v>884</v>
      </c>
      <c r="C23">
        <v>114127.692</v>
      </c>
      <c r="D23">
        <v>77989</v>
      </c>
      <c r="E23">
        <v>179897</v>
      </c>
      <c r="F23">
        <v>100888880</v>
      </c>
      <c r="G23">
        <v>100888880</v>
      </c>
      <c r="H23">
        <f t="shared" si="1"/>
        <v>129.10372398190046</v>
      </c>
    </row>
    <row r="24" spans="1:8" x14ac:dyDescent="0.2">
      <c r="A24">
        <v>19</v>
      </c>
      <c r="B24">
        <v>1235</v>
      </c>
      <c r="C24">
        <v>287345.68099999998</v>
      </c>
      <c r="D24">
        <v>161395</v>
      </c>
      <c r="E24">
        <v>509434</v>
      </c>
      <c r="F24">
        <v>354871916</v>
      </c>
      <c r="G24">
        <v>354871916</v>
      </c>
      <c r="H24">
        <f t="shared" si="1"/>
        <v>232.66856761133602</v>
      </c>
    </row>
    <row r="25" spans="1:8" x14ac:dyDescent="0.2">
      <c r="A25">
        <v>20</v>
      </c>
      <c r="B25">
        <v>793</v>
      </c>
      <c r="C25">
        <v>156303.95699999999</v>
      </c>
      <c r="D25">
        <v>112588</v>
      </c>
      <c r="E25">
        <v>208585</v>
      </c>
      <c r="F25">
        <v>123949038</v>
      </c>
      <c r="G25">
        <v>123949038</v>
      </c>
      <c r="H25">
        <f t="shared" si="1"/>
        <v>197.10461160151323</v>
      </c>
    </row>
    <row r="27" spans="1:8" x14ac:dyDescent="0.2">
      <c r="H27">
        <f>(SUM(H3:H13)+SUM(H17:H25))/20</f>
        <v>156.3759389196963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53E8-229B-1044-8890-ABDAE364C3BC}">
  <dimension ref="A1:H28"/>
  <sheetViews>
    <sheetView tabSelected="1" workbookViewId="0">
      <selection activeCell="H29" sqref="H29"/>
    </sheetView>
  </sheetViews>
  <sheetFormatPr baseColWidth="10" defaultRowHeight="16" x14ac:dyDescent="0.2"/>
  <sheetData>
    <row r="1" spans="1:8" x14ac:dyDescent="0.2">
      <c r="A1" t="s">
        <v>11</v>
      </c>
    </row>
    <row r="2" spans="1:8" x14ac:dyDescent="0.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1</v>
      </c>
      <c r="B3">
        <v>841</v>
      </c>
      <c r="C3">
        <v>177654.12599999999</v>
      </c>
      <c r="D3">
        <v>104535</v>
      </c>
      <c r="E3">
        <v>196605</v>
      </c>
      <c r="F3">
        <v>149407120</v>
      </c>
      <c r="G3">
        <v>149407120</v>
      </c>
      <c r="H3">
        <f>C3/B3</f>
        <v>211.24152913198571</v>
      </c>
    </row>
    <row r="4" spans="1:8" x14ac:dyDescent="0.2">
      <c r="A4">
        <v>2</v>
      </c>
      <c r="B4">
        <v>907</v>
      </c>
      <c r="C4">
        <v>89161.941999999995</v>
      </c>
      <c r="D4">
        <v>41938</v>
      </c>
      <c r="E4">
        <v>322526</v>
      </c>
      <c r="F4">
        <v>80869881</v>
      </c>
      <c r="G4">
        <v>80869881</v>
      </c>
      <c r="H4">
        <f t="shared" ref="H4:H5" si="0">C4/B4</f>
        <v>98.304235942668129</v>
      </c>
    </row>
    <row r="5" spans="1:8" x14ac:dyDescent="0.2">
      <c r="A5">
        <v>3</v>
      </c>
      <c r="B5">
        <v>692</v>
      </c>
      <c r="C5">
        <v>81881.691000000006</v>
      </c>
      <c r="D5">
        <v>60683</v>
      </c>
      <c r="E5">
        <v>130131</v>
      </c>
      <c r="F5">
        <v>56662130</v>
      </c>
      <c r="G5">
        <v>56662130</v>
      </c>
      <c r="H5">
        <f t="shared" si="0"/>
        <v>118.32614306358383</v>
      </c>
    </row>
    <row r="6" spans="1:8" x14ac:dyDescent="0.2">
      <c r="A6">
        <v>4</v>
      </c>
      <c r="B6">
        <v>426</v>
      </c>
      <c r="C6">
        <v>45444.122000000003</v>
      </c>
      <c r="D6">
        <v>25761</v>
      </c>
      <c r="E6">
        <v>102244</v>
      </c>
      <c r="F6">
        <v>19359196</v>
      </c>
      <c r="G6">
        <v>19359196</v>
      </c>
      <c r="H6">
        <f>C6/B6</f>
        <v>106.67634272300471</v>
      </c>
    </row>
    <row r="7" spans="1:8" x14ac:dyDescent="0.2">
      <c r="A7">
        <v>5</v>
      </c>
      <c r="B7">
        <v>734</v>
      </c>
      <c r="C7">
        <v>64992.09</v>
      </c>
      <c r="D7">
        <v>35571</v>
      </c>
      <c r="E7">
        <v>258230</v>
      </c>
      <c r="F7">
        <v>47704194</v>
      </c>
      <c r="G7">
        <v>47704194</v>
      </c>
      <c r="H7">
        <f t="shared" ref="H7:H11" si="1">C7/B7</f>
        <v>88.545081743869204</v>
      </c>
    </row>
    <row r="8" spans="1:8" x14ac:dyDescent="0.2">
      <c r="A8">
        <v>6</v>
      </c>
      <c r="B8">
        <v>540</v>
      </c>
      <c r="C8">
        <v>87592.228000000003</v>
      </c>
      <c r="D8">
        <v>59027</v>
      </c>
      <c r="E8">
        <v>151123</v>
      </c>
      <c r="F8">
        <v>47299803</v>
      </c>
      <c r="G8">
        <v>47299803</v>
      </c>
      <c r="H8">
        <f t="shared" si="1"/>
        <v>162.20782962962963</v>
      </c>
    </row>
    <row r="9" spans="1:8" x14ac:dyDescent="0.2">
      <c r="A9">
        <v>7</v>
      </c>
      <c r="B9">
        <v>576</v>
      </c>
      <c r="C9">
        <v>107237.519</v>
      </c>
      <c r="D9">
        <v>81684</v>
      </c>
      <c r="E9">
        <v>222342</v>
      </c>
      <c r="F9">
        <v>61768811</v>
      </c>
      <c r="G9">
        <v>61768811</v>
      </c>
      <c r="H9">
        <f t="shared" si="1"/>
        <v>186.17624826388888</v>
      </c>
    </row>
    <row r="10" spans="1:8" x14ac:dyDescent="0.2">
      <c r="A10">
        <v>8</v>
      </c>
      <c r="B10">
        <v>1034</v>
      </c>
      <c r="C10">
        <v>52090.360999999997</v>
      </c>
      <c r="D10">
        <v>32286</v>
      </c>
      <c r="E10">
        <v>84873</v>
      </c>
      <c r="F10">
        <v>53861433</v>
      </c>
      <c r="G10">
        <v>53861433</v>
      </c>
      <c r="H10">
        <f t="shared" si="1"/>
        <v>50.377525145067693</v>
      </c>
    </row>
    <row r="11" spans="1:8" x14ac:dyDescent="0.2">
      <c r="A11">
        <v>9</v>
      </c>
      <c r="B11">
        <v>706</v>
      </c>
      <c r="C11">
        <v>51115.500999999997</v>
      </c>
      <c r="D11">
        <v>42336</v>
      </c>
      <c r="E11">
        <v>58411</v>
      </c>
      <c r="F11">
        <v>36087544</v>
      </c>
      <c r="G11">
        <v>36087544</v>
      </c>
      <c r="H11">
        <f t="shared" si="1"/>
        <v>72.401559490084978</v>
      </c>
    </row>
    <row r="13" spans="1:8" x14ac:dyDescent="0.2">
      <c r="A13" t="s">
        <v>12</v>
      </c>
    </row>
    <row r="14" spans="1:8" x14ac:dyDescent="0.2"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 spans="1:8" x14ac:dyDescent="0.2">
      <c r="A15">
        <v>10</v>
      </c>
      <c r="B15">
        <v>544</v>
      </c>
      <c r="C15">
        <v>83669.504000000001</v>
      </c>
      <c r="D15">
        <v>52385</v>
      </c>
      <c r="E15">
        <v>159983</v>
      </c>
      <c r="F15">
        <v>45516210</v>
      </c>
      <c r="G15">
        <v>45516210</v>
      </c>
      <c r="H15">
        <f>C15/B15</f>
        <v>153.80423529411766</v>
      </c>
    </row>
    <row r="16" spans="1:8" x14ac:dyDescent="0.2">
      <c r="A16">
        <v>11</v>
      </c>
      <c r="B16">
        <v>951</v>
      </c>
      <c r="C16">
        <v>86817.252999999997</v>
      </c>
      <c r="D16">
        <v>53371</v>
      </c>
      <c r="E16">
        <v>184684</v>
      </c>
      <c r="F16">
        <v>82563208</v>
      </c>
      <c r="G16">
        <v>82563208</v>
      </c>
      <c r="H16">
        <f t="shared" ref="H16:H19" si="2">C16/B16</f>
        <v>91.290486855941111</v>
      </c>
    </row>
    <row r="17" spans="1:8" x14ac:dyDescent="0.2">
      <c r="A17">
        <v>12</v>
      </c>
      <c r="B17" s="1">
        <v>800</v>
      </c>
      <c r="C17" s="1">
        <v>61436.468999999997</v>
      </c>
      <c r="D17" s="1">
        <v>47070</v>
      </c>
      <c r="E17" s="1">
        <v>117363</v>
      </c>
      <c r="F17" s="1">
        <v>49149175</v>
      </c>
      <c r="G17" s="1">
        <v>49149175</v>
      </c>
      <c r="H17">
        <f t="shared" si="2"/>
        <v>76.795586249999999</v>
      </c>
    </row>
    <row r="18" spans="1:8" x14ac:dyDescent="0.2">
      <c r="A18">
        <v>13</v>
      </c>
      <c r="B18">
        <v>622</v>
      </c>
      <c r="C18">
        <v>102288.553</v>
      </c>
      <c r="D18">
        <v>73032</v>
      </c>
      <c r="E18">
        <v>150085</v>
      </c>
      <c r="F18">
        <v>63623480</v>
      </c>
      <c r="G18">
        <v>63623480</v>
      </c>
      <c r="H18">
        <f t="shared" si="2"/>
        <v>164.45104983922829</v>
      </c>
    </row>
    <row r="19" spans="1:8" x14ac:dyDescent="0.2">
      <c r="A19">
        <v>14</v>
      </c>
      <c r="B19">
        <v>389</v>
      </c>
      <c r="C19">
        <v>73531.316000000006</v>
      </c>
      <c r="D19">
        <v>59643</v>
      </c>
      <c r="E19">
        <v>106197</v>
      </c>
      <c r="F19">
        <v>28603682</v>
      </c>
      <c r="G19">
        <v>28603682</v>
      </c>
      <c r="H19">
        <f t="shared" si="2"/>
        <v>189.02651928020566</v>
      </c>
    </row>
    <row r="21" spans="1:8" x14ac:dyDescent="0.2">
      <c r="A21" t="s">
        <v>13</v>
      </c>
    </row>
    <row r="22" spans="1:8" x14ac:dyDescent="0.2"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</row>
    <row r="23" spans="1:8" x14ac:dyDescent="0.2">
      <c r="A23">
        <v>15</v>
      </c>
      <c r="B23">
        <v>642</v>
      </c>
      <c r="C23">
        <v>109650.681</v>
      </c>
      <c r="D23">
        <v>81880</v>
      </c>
      <c r="E23">
        <v>135605</v>
      </c>
      <c r="F23">
        <v>70395737</v>
      </c>
      <c r="G23">
        <v>70395737</v>
      </c>
      <c r="H23">
        <f>C23/B23</f>
        <v>170.79545327102804</v>
      </c>
    </row>
    <row r="24" spans="1:8" x14ac:dyDescent="0.2">
      <c r="A24">
        <v>16</v>
      </c>
      <c r="B24">
        <v>501</v>
      </c>
      <c r="C24">
        <v>55327.991999999998</v>
      </c>
      <c r="D24">
        <v>37951</v>
      </c>
      <c r="E24">
        <v>119309</v>
      </c>
      <c r="F24">
        <v>27719324</v>
      </c>
      <c r="G24">
        <v>27719324</v>
      </c>
      <c r="H24">
        <f t="shared" ref="H24:H28" si="3">C24/B24</f>
        <v>110.43511377245508</v>
      </c>
    </row>
    <row r="25" spans="1:8" x14ac:dyDescent="0.2">
      <c r="A25">
        <v>17</v>
      </c>
      <c r="B25">
        <v>626</v>
      </c>
      <c r="C25">
        <v>50314.271999999997</v>
      </c>
      <c r="D25">
        <v>30797</v>
      </c>
      <c r="E25">
        <v>86451</v>
      </c>
      <c r="F25">
        <v>31496734</v>
      </c>
      <c r="G25">
        <v>31496734</v>
      </c>
      <c r="H25">
        <f t="shared" si="3"/>
        <v>80.374236421725229</v>
      </c>
    </row>
    <row r="26" spans="1:8" x14ac:dyDescent="0.2">
      <c r="A26">
        <v>18</v>
      </c>
      <c r="B26">
        <v>530</v>
      </c>
      <c r="C26">
        <v>91062.842000000004</v>
      </c>
      <c r="D26">
        <v>68958</v>
      </c>
      <c r="E26">
        <v>171759</v>
      </c>
      <c r="F26">
        <v>48263306</v>
      </c>
      <c r="G26">
        <v>48263306</v>
      </c>
      <c r="H26">
        <f t="shared" si="3"/>
        <v>171.81668301886793</v>
      </c>
    </row>
    <row r="27" spans="1:8" x14ac:dyDescent="0.2">
      <c r="A27">
        <v>19</v>
      </c>
      <c r="B27">
        <v>585</v>
      </c>
      <c r="C27">
        <v>50000.455999999998</v>
      </c>
      <c r="D27">
        <v>35856</v>
      </c>
      <c r="E27">
        <v>86151</v>
      </c>
      <c r="F27">
        <v>29250267</v>
      </c>
      <c r="G27">
        <v>29250267</v>
      </c>
      <c r="H27">
        <f t="shared" si="3"/>
        <v>85.470864957264951</v>
      </c>
    </row>
    <row r="28" spans="1:8" x14ac:dyDescent="0.2">
      <c r="A28">
        <v>20</v>
      </c>
      <c r="B28">
        <v>749</v>
      </c>
      <c r="C28">
        <v>62951.231</v>
      </c>
      <c r="D28">
        <v>48251</v>
      </c>
      <c r="E28">
        <v>83210</v>
      </c>
      <c r="F28">
        <v>47150472</v>
      </c>
      <c r="G28">
        <v>47150472</v>
      </c>
      <c r="H28">
        <f t="shared" si="3"/>
        <v>84.047037383177567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F332-A0CF-B44A-A31E-1AF3ECAD1C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dma-1  gfp  aid 0mM</vt:lpstr>
      <vt:lpstr>dma-1 gfp aid 10 mM</vt:lpstr>
      <vt:lpstr>dma-1 gfp aid_ WT 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Ram K Reddy</dc:creator>
  <cp:lastModifiedBy>Anay Ram K Reddy</cp:lastModifiedBy>
  <dcterms:created xsi:type="dcterms:W3CDTF">2025-01-06T19:01:54Z</dcterms:created>
  <dcterms:modified xsi:type="dcterms:W3CDTF">2025-01-08T19:37:22Z</dcterms:modified>
</cp:coreProperties>
</file>